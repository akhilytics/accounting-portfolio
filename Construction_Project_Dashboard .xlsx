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HILA NAYAK\Downloads\Resumes and job\git portfolio\"/>
    </mc:Choice>
  </mc:AlternateContent>
  <xr:revisionPtr revIDLastSave="0" documentId="13_ncr:1_{FE1E63F8-80E3-4090-B9E2-B49E4B605333}" xr6:coauthVersionLast="47" xr6:coauthVersionMax="47" xr10:uidLastSave="{00000000-0000-0000-0000-000000000000}"/>
  <bookViews>
    <workbookView xWindow="-108" yWindow="-108" windowWidth="23256" windowHeight="13176" tabRatio="500" xr2:uid="{00000000-000D-0000-FFFF-FFFF00000000}"/>
  </bookViews>
  <sheets>
    <sheet name="About" sheetId="1" r:id="rId1"/>
    <sheet name="Dashboard" sheetId="2" r:id="rId2"/>
    <sheet name="Project_Data" sheetId="3" r:id="rId3"/>
    <sheet name="RA_Bills" sheetId="4" r:id="rId4"/>
    <sheet name="Subcontractors" sheetId="5" r:id="rId5"/>
    <sheet name="Manpower" sheetId="6" r:id="rId6"/>
    <sheet name="Materials" sheetId="7" r:id="rId7"/>
    <sheet name="Cashflow" sheetId="8" r:id="rId8"/>
    <sheet name="Milestones" sheetId="9" r:id="rId9"/>
  </sheets>
  <definedNames>
    <definedName name="_xlnm.Print_Area" localSheetId="1">Dashboard!$A$1:$M$55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2" i="9" l="1"/>
  <c r="E12" i="9"/>
  <c r="F11" i="9"/>
  <c r="E11" i="9"/>
  <c r="F10" i="9"/>
  <c r="E10" i="9"/>
  <c r="F9" i="9"/>
  <c r="E9" i="9"/>
  <c r="F8" i="9"/>
  <c r="E8" i="9"/>
  <c r="F7" i="9"/>
  <c r="E7" i="9"/>
  <c r="F6" i="9"/>
  <c r="E6" i="9"/>
  <c r="F5" i="9"/>
  <c r="E5" i="9"/>
  <c r="E15" i="8"/>
  <c r="D15" i="8"/>
  <c r="D21" i="8" s="1"/>
  <c r="C15" i="8"/>
  <c r="E14" i="8"/>
  <c r="E13" i="8"/>
  <c r="E12" i="8"/>
  <c r="E11" i="8"/>
  <c r="E10" i="8"/>
  <c r="E9" i="8"/>
  <c r="E8" i="8"/>
  <c r="E7" i="8"/>
  <c r="E6" i="8"/>
  <c r="F6" i="8" s="1"/>
  <c r="F7" i="8" s="1"/>
  <c r="F8" i="8" s="1"/>
  <c r="F9" i="8" s="1"/>
  <c r="F10" i="8" s="1"/>
  <c r="F11" i="8" s="1"/>
  <c r="F12" i="8" s="1"/>
  <c r="F13" i="8" s="1"/>
  <c r="F14" i="8" s="1"/>
  <c r="H19" i="7"/>
  <c r="I19" i="7" s="1"/>
  <c r="H18" i="7"/>
  <c r="I18" i="7" s="1"/>
  <c r="G18" i="7"/>
  <c r="H17" i="7"/>
  <c r="I17" i="7" s="1"/>
  <c r="G17" i="7"/>
  <c r="G10" i="7"/>
  <c r="F10" i="7"/>
  <c r="G9" i="7"/>
  <c r="F9" i="7"/>
  <c r="G8" i="7"/>
  <c r="F8" i="7"/>
  <c r="G7" i="7"/>
  <c r="F7" i="7"/>
  <c r="G6" i="7"/>
  <c r="F6" i="7"/>
  <c r="F19" i="6"/>
  <c r="F21" i="6" s="1"/>
  <c r="F16" i="6"/>
  <c r="F20" i="6" s="1"/>
  <c r="C16" i="6"/>
  <c r="F14" i="6"/>
  <c r="F13" i="6"/>
  <c r="F12" i="6"/>
  <c r="F11" i="6"/>
  <c r="F10" i="6"/>
  <c r="F9" i="6"/>
  <c r="F8" i="6"/>
  <c r="F7" i="6"/>
  <c r="F6" i="6"/>
  <c r="G10" i="5"/>
  <c r="F10" i="5"/>
  <c r="E10" i="5"/>
  <c r="H10" i="5" s="1"/>
  <c r="D10" i="5"/>
  <c r="H9" i="5"/>
  <c r="G9" i="5"/>
  <c r="H8" i="5"/>
  <c r="G8" i="5"/>
  <c r="H7" i="5"/>
  <c r="G7" i="5"/>
  <c r="H6" i="5"/>
  <c r="G6" i="5"/>
  <c r="H5" i="5"/>
  <c r="G5" i="5"/>
  <c r="G15" i="4"/>
  <c r="E15" i="4"/>
  <c r="G17" i="2" s="1"/>
  <c r="D15" i="4"/>
  <c r="G16" i="2" s="1"/>
  <c r="F14" i="4"/>
  <c r="F13" i="4"/>
  <c r="F12" i="4"/>
  <c r="F11" i="4"/>
  <c r="I10" i="4"/>
  <c r="F10" i="4"/>
  <c r="H10" i="4" s="1"/>
  <c r="F9" i="4"/>
  <c r="F8" i="4"/>
  <c r="F7" i="4"/>
  <c r="F6" i="4"/>
  <c r="C27" i="3"/>
  <c r="C26" i="3"/>
  <c r="C25" i="3"/>
  <c r="F20" i="3"/>
  <c r="D20" i="3"/>
  <c r="C20" i="3"/>
  <c r="F19" i="3"/>
  <c r="E19" i="3"/>
  <c r="F18" i="3"/>
  <c r="E18" i="3"/>
  <c r="F17" i="3"/>
  <c r="E17" i="3"/>
  <c r="F16" i="3"/>
  <c r="E16" i="3"/>
  <c r="F15" i="3"/>
  <c r="E15" i="3"/>
  <c r="C20" i="2"/>
  <c r="C19" i="2"/>
  <c r="C18" i="2"/>
  <c r="K17" i="2"/>
  <c r="C17" i="2"/>
  <c r="K16" i="2"/>
  <c r="C16" i="2"/>
  <c r="K6" i="2"/>
  <c r="B6" i="2"/>
  <c r="G19" i="2" l="1"/>
  <c r="K10" i="2"/>
  <c r="H14" i="4"/>
  <c r="I14" i="4"/>
  <c r="H13" i="4"/>
  <c r="I13" i="4"/>
  <c r="H12" i="4"/>
  <c r="I12" i="4"/>
  <c r="F15" i="4"/>
  <c r="G18" i="2" s="1"/>
  <c r="H11" i="4"/>
  <c r="I11" i="4"/>
  <c r="H9" i="4"/>
  <c r="I9" i="4"/>
  <c r="H8" i="4"/>
  <c r="I8" i="4"/>
  <c r="H7" i="4"/>
  <c r="I7" i="4"/>
  <c r="H6" i="4"/>
  <c r="H15" i="4" s="1"/>
  <c r="G20" i="2" s="1"/>
  <c r="I6" i="4"/>
  <c r="I15" i="4" s="1"/>
  <c r="H6" i="2"/>
  <c r="E6" i="2"/>
  <c r="D20" i="8"/>
  <c r="D22" i="8" s="1"/>
  <c r="E20" i="3"/>
  <c r="C28" i="3"/>
  <c r="K18" i="2" l="1"/>
  <c r="C29" i="3"/>
  <c r="B10" i="2" s="1"/>
  <c r="C30" i="3"/>
  <c r="K19" i="2" l="1"/>
  <c r="E10" i="2"/>
  <c r="C31" i="3"/>
  <c r="C32" i="3" l="1"/>
  <c r="K20" i="2" s="1"/>
  <c r="H10" i="2"/>
</calcChain>
</file>

<file path=xl/sharedStrings.xml><?xml version="1.0" encoding="utf-8"?>
<sst xmlns="http://schemas.openxmlformats.org/spreadsheetml/2006/main" count="227" uniqueCount="196">
  <si>
    <t>Construction Project Monitoring Dashboard</t>
  </si>
  <si>
    <t>A single-project cost, billing and progress dashboard for a construction project at 75% completion.</t>
  </si>
  <si>
    <t>⚠  ILLUSTRATIVE / SAMPLE DATA — built to demonstrate methodology. Project 'Skyline Terraces — Block C', all names and figures are fictional and do not represent any real company or client.</t>
  </si>
  <si>
    <t>WHAT THIS SHOWS</t>
  </si>
  <si>
    <t>•  Live KPI tiles: total budget (₹16 Cr), amount spent, % utilised, completion %, cost variance, estimate at completion, and RA billing position.</t>
  </si>
  <si>
    <t>•  Cost breakdown by category (material, labour, subcontractor, equipment, overheads) with a donut chart and cost-to-complete.</t>
  </si>
  <si>
    <t>•  RA Bill status — running-account bills raised to the client: gross value, certified, 5% retention, received and pending.</t>
  </si>
  <si>
    <t>•  Subcontractor tracker — order value, billed, paid and balance by work package.</t>
  </si>
  <si>
    <t>•  Project-specific manpower and work-time costing (headcount × days × rate).</t>
  </si>
  <si>
    <t>•  Material consumption (budget vs actual quantity) and Purchase Price Variance for cement and steel.</t>
  </si>
  <si>
    <t>•  Milestone/schedule tracker (planned vs actual %) and a monthly cash-flow view (inflow vs outflow, cumulative).</t>
  </si>
  <si>
    <t>•  Every figure is formula-driven across seven data tabs — change an input and the dashboard updates.</t>
  </si>
  <si>
    <t>SKILLS DEMONSTRATED</t>
  </si>
  <si>
    <t>Project cost control · MIS reporting · Budget vs actual &amp; variance analysis · RA billing &amp; retention · Purchase price variance · Cash-flow tracking · Advanced Excel (cross-sheet formulas, IFERROR, charts) · Management accounting</t>
  </si>
  <si>
    <t>Built by Akhila Nayak  ·  Accountant  ·  R2R, MIS &amp; Cost Analysis</t>
  </si>
  <si>
    <t>Skyline Terraces — Block C   ·   75% Complete   ·   ₹16 Cr Estimate   ·   Illustrative data (INR)</t>
  </si>
  <si>
    <t>TOTAL BUDGET</t>
  </si>
  <si>
    <t>AMOUNT SPENT</t>
  </si>
  <si>
    <t>% UTILISED</t>
  </si>
  <si>
    <t>COMPLETION</t>
  </si>
  <si>
    <t>COST VAR (EV−AC)</t>
  </si>
  <si>
    <t>CPI</t>
  </si>
  <si>
    <t>EAC (BAC/CPI)</t>
  </si>
  <si>
    <t>RA RECEIVED</t>
  </si>
  <si>
    <t>COST BREAKDOWN BY CATEGORY</t>
  </si>
  <si>
    <t>RA BILL SUMMARY</t>
  </si>
  <si>
    <t>EARNED VALUE (EVM)</t>
  </si>
  <si>
    <t>Category</t>
  </si>
  <si>
    <t>Actual (₹)</t>
  </si>
  <si>
    <t>Material</t>
  </si>
  <si>
    <t>Gross Work Value</t>
  </si>
  <si>
    <t>BAC — Budget</t>
  </si>
  <si>
    <t>Labour</t>
  </si>
  <si>
    <t>Amount Certified</t>
  </si>
  <si>
    <t>EV — Earned Value</t>
  </si>
  <si>
    <t>Subcontractor</t>
  </si>
  <si>
    <t>Retention Held</t>
  </si>
  <si>
    <t>AC — Actual Cost</t>
  </si>
  <si>
    <t>Equipment</t>
  </si>
  <si>
    <t>Amount Received</t>
  </si>
  <si>
    <t>Overheads</t>
  </si>
  <si>
    <t>Pending Receivable</t>
  </si>
  <si>
    <t>VAC — Var at Completion</t>
  </si>
  <si>
    <t>Project Master Data</t>
  </si>
  <si>
    <t>Project Name</t>
  </si>
  <si>
    <t>Skyline Terraces — Block C</t>
  </si>
  <si>
    <t>Project Type</t>
  </si>
  <si>
    <t>Construction (Residential/Commercial)</t>
  </si>
  <si>
    <t>Total Estimated Cost (Budget)</t>
  </si>
  <si>
    <t>Overall Completion %</t>
  </si>
  <si>
    <t>Planned Completion % (as per schedule)</t>
  </si>
  <si>
    <t>Project Start</t>
  </si>
  <si>
    <t>Apr 2024</t>
  </si>
  <si>
    <t>Scheduled Completion</t>
  </si>
  <si>
    <t>Mar 2026</t>
  </si>
  <si>
    <t>Cost by Category</t>
  </si>
  <si>
    <t>Budget (₹)</t>
  </si>
  <si>
    <t>Actual to Date (₹)</t>
  </si>
  <si>
    <t>% of Budget Spent</t>
  </si>
  <si>
    <t>Cost to Complete (₹)</t>
  </si>
  <si>
    <t>TOTAL</t>
  </si>
  <si>
    <t>Earned Value Analysis (EVM)</t>
  </si>
  <si>
    <t>Standard project-controls metrics. EV = BAC × % complete; CPI = EV / AC; EAC = BAC / CPI.</t>
  </si>
  <si>
    <t>BAC — Budget at Completion</t>
  </si>
  <si>
    <t>Total project budget</t>
  </si>
  <si>
    <t>% Complete (physical)</t>
  </si>
  <si>
    <t>Work actually done</t>
  </si>
  <si>
    <t>Budgeted cost of work performed</t>
  </si>
  <si>
    <t>Actual cost incurred to date</t>
  </si>
  <si>
    <t>CV — Cost Variance (EV − AC)</t>
  </si>
  <si>
    <t>Positive = under budget</t>
  </si>
  <si>
    <t>CPI — Cost Performance Index</t>
  </si>
  <si>
    <t>EV / AC;  &gt;1 = efficient</t>
  </si>
  <si>
    <t>EAC — Estimate at Completion</t>
  </si>
  <si>
    <t>BAC / CPI</t>
  </si>
  <si>
    <t>VAC — Variance at Completion</t>
  </si>
  <si>
    <t>BAC − EAC</t>
  </si>
  <si>
    <t>Running Account (RA) Bill Status</t>
  </si>
  <si>
    <t>Bills raised to client — certified, retention, received, pending.</t>
  </si>
  <si>
    <t>RA Bill No.</t>
  </si>
  <si>
    <t>Date</t>
  </si>
  <si>
    <t>Gross Work Value (₹)</t>
  </si>
  <si>
    <t>Amount Certified (₹)</t>
  </si>
  <si>
    <t>Retention @5% (₹)</t>
  </si>
  <si>
    <t>Amount Received (₹)</t>
  </si>
  <si>
    <t>Pending Receivable (₹)</t>
  </si>
  <si>
    <t>Excess Received (₹)</t>
  </si>
  <si>
    <t>RA-01</t>
  </si>
  <si>
    <t>May-24</t>
  </si>
  <si>
    <t>RA-02</t>
  </si>
  <si>
    <t>Jul-24</t>
  </si>
  <si>
    <t>RA-03</t>
  </si>
  <si>
    <t>Sep-24</t>
  </si>
  <si>
    <t>RA-04</t>
  </si>
  <si>
    <t>Nov-24</t>
  </si>
  <si>
    <t>RA-05</t>
  </si>
  <si>
    <t>Jan-25</t>
  </si>
  <si>
    <t>RA-06</t>
  </si>
  <si>
    <t>Mar-25</t>
  </si>
  <si>
    <t>RA-07</t>
  </si>
  <si>
    <t>May-25</t>
  </si>
  <si>
    <t>RA-08</t>
  </si>
  <si>
    <t>Jul-25</t>
  </si>
  <si>
    <t>RA-09</t>
  </si>
  <si>
    <t>Sep-25</t>
  </si>
  <si>
    <t>Subcontractor Status</t>
  </si>
  <si>
    <t>Work Package</t>
  </si>
  <si>
    <t>Order Value (₹)</t>
  </si>
  <si>
    <t>Billed to Date (₹)</t>
  </si>
  <si>
    <t>Paid (₹)</t>
  </si>
  <si>
    <t>Balance Payable (₹)</t>
  </si>
  <si>
    <t>% Billed</t>
  </si>
  <si>
    <t>Sri Sai Enterprises</t>
  </si>
  <si>
    <t>Piling &amp; Foundation</t>
  </si>
  <si>
    <t>Deccan Steel Works</t>
  </si>
  <si>
    <t>Structural Steel</t>
  </si>
  <si>
    <t>Kaveri Electricals</t>
  </si>
  <si>
    <t>Electrical &amp; Wiring</t>
  </si>
  <si>
    <t>Nandi Plumbing Co.</t>
  </si>
  <si>
    <t>Plumbing &amp; Sanitary</t>
  </si>
  <si>
    <t>Prism Interiors</t>
  </si>
  <si>
    <t>Finishing &amp; Interiors</t>
  </si>
  <si>
    <t>Project-Specific Manpower &amp; Work-Time Costing</t>
  </si>
  <si>
    <t>Direct site labour (headcount × days × rate) plus agency/contract labour. Ties to Labour actual in Project_Data.</t>
  </si>
  <si>
    <t>Role / Trade</t>
  </si>
  <si>
    <t>Headcount</t>
  </si>
  <si>
    <t>Days Deployed</t>
  </si>
  <si>
    <t>Rate (₹/day)</t>
  </si>
  <si>
    <t>Labour Cost (₹)</t>
  </si>
  <si>
    <t>Project Manager</t>
  </si>
  <si>
    <t>Site Engineers</t>
  </si>
  <si>
    <t>Supervisors</t>
  </si>
  <si>
    <t>Masons</t>
  </si>
  <si>
    <t>Bar Benders / Steel Fixers</t>
  </si>
  <si>
    <t>Carpenters / Shuttering</t>
  </si>
  <si>
    <t>Electricians</t>
  </si>
  <si>
    <t>Plumbers</t>
  </si>
  <si>
    <t>Helpers / Unskilled</t>
  </si>
  <si>
    <t>Agency / Contract Labour</t>
  </si>
  <si>
    <t>TOTAL LABOUR</t>
  </si>
  <si>
    <t>Reconciliation Check</t>
  </si>
  <si>
    <t>Labour actual (Project_Data)</t>
  </si>
  <si>
    <t>Total labour (this sheet)</t>
  </si>
  <si>
    <t>Difference</t>
  </si>
  <si>
    <t>Material Consumption &amp; Purchase Price Variance</t>
  </si>
  <si>
    <t>Material Consumption (Budget Qty vs Actual)</t>
  </si>
  <si>
    <t>Unit</t>
  </si>
  <si>
    <t>Budget Qty</t>
  </si>
  <si>
    <t>Actual Qty (to date)</t>
  </si>
  <si>
    <t>Qty Variance</t>
  </si>
  <si>
    <t>Status</t>
  </si>
  <si>
    <t>Cement</t>
  </si>
  <si>
    <t>Bags</t>
  </si>
  <si>
    <t>Steel (TMT)</t>
  </si>
  <si>
    <t>MT</t>
  </si>
  <si>
    <t>Sand</t>
  </si>
  <si>
    <t>CFT</t>
  </si>
  <si>
    <t>Aggregate (20mm)</t>
  </si>
  <si>
    <t>Bricks</t>
  </si>
  <si>
    <t>Nos</t>
  </si>
  <si>
    <t>Purchase Price Variance — Cement &amp; Steel</t>
  </si>
  <si>
    <t>PPV = (Standard Rate − Actual Rate) × Actual Qty.  Positive = favourable, negative = adverse.</t>
  </si>
  <si>
    <t>Std Rate (₹)</t>
  </si>
  <si>
    <t>Actual Rate (₹)</t>
  </si>
  <si>
    <t>Actual Qty</t>
  </si>
  <si>
    <t>Rate Diff (₹)</t>
  </si>
  <si>
    <t>Purchase Price Variance (₹)</t>
  </si>
  <si>
    <t>Result</t>
  </si>
  <si>
    <t>Bag</t>
  </si>
  <si>
    <t>kg</t>
  </si>
  <si>
    <t>TOTAL PPV</t>
  </si>
  <si>
    <t>Project Cash Flow — Inflow vs Outflow</t>
  </si>
  <si>
    <t>Inflow = receipts from RA bills.  Outflow = payments (material, labour, subcontractor).</t>
  </si>
  <si>
    <t>Month</t>
  </si>
  <si>
    <t>Inflow (₹)</t>
  </si>
  <si>
    <t>Outflow (₹)</t>
  </si>
  <si>
    <t>Net (₹)</t>
  </si>
  <si>
    <t>Cumulative Net (₹)</t>
  </si>
  <si>
    <t>Accrued Cost vs Cash Outflow — Reconciliation</t>
  </si>
  <si>
    <t>Accounting (accrued) cost and cash paid differ by movement in payables/accruals.</t>
  </si>
  <si>
    <t>Accrued Cost to Date (P&amp;L, Project_Data)</t>
  </si>
  <si>
    <t>Total Cash Outflow (this sheet)</t>
  </si>
  <si>
    <t>Difference = Closing Payables / Accruals</t>
  </si>
  <si>
    <t>Milestone / Schedule Tracker</t>
  </si>
  <si>
    <t>Stage</t>
  </si>
  <si>
    <t>Planned %</t>
  </si>
  <si>
    <t>Actual %</t>
  </si>
  <si>
    <t>Variance (pts)</t>
  </si>
  <si>
    <t>Site Prep &amp; Excavation</t>
  </si>
  <si>
    <t>Foundation &amp; Piling</t>
  </si>
  <si>
    <t>Structural Frame</t>
  </si>
  <si>
    <t>Masonry &amp; Blockwork</t>
  </si>
  <si>
    <t>MEP (Elec/Plumb)</t>
  </si>
  <si>
    <t>Plastering &amp; Flooring</t>
  </si>
  <si>
    <t>External &amp; Handover</t>
  </si>
  <si>
    <r>
      <t>Declaration of AI Assistance:</t>
    </r>
    <r>
      <rPr>
        <sz val="11"/>
        <color rgb="FFFF0000"/>
        <rFont val="Calibri"/>
        <family val="2"/>
        <charset val="1"/>
      </rPr>
      <t xml:space="preserve"> All data modeling, functions, and analytical logic within these Excel projects were developed independently. Generative AI tools (ChatGPT and Gemini) were utilized solely to enhance syntax, tone, and readability of textual elements.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</si>
</sst>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0\);\-"/>
    <numFmt numFmtId="165" formatCode="0.0%"/>
    <numFmt numFmtId="166" formatCode="0.000"/>
    <numFmt numFmtId="168" formatCode="0.0;\(0.0\);\-"/>
  </numFmts>
  <fonts count="25" x14ac:knownFonts="1">
    <font>
      <sz val="11"/>
      <color theme="1"/>
      <name val="Calibri"/>
      <family val="2"/>
      <charset val="1"/>
    </font>
    <font>
      <b/>
      <sz val="18"/>
      <color rgb="FF22223B"/>
      <name val="Calibri"/>
      <family val="2"/>
    </font>
    <font>
      <i/>
      <sz val="11"/>
      <color rgb="FF17A2B8"/>
      <name val="Calibri"/>
      <family val="2"/>
    </font>
    <font>
      <b/>
      <sz val="10"/>
      <color rgb="FF8A5A00"/>
      <name val="Calibri"/>
      <family val="2"/>
    </font>
    <font>
      <b/>
      <sz val="11"/>
      <color rgb="FF17A2B8"/>
      <name val="Calibri"/>
      <family val="2"/>
    </font>
    <font>
      <sz val="10"/>
      <color rgb="FF2D2D3A"/>
      <name val="Calibri"/>
      <family val="2"/>
    </font>
    <font>
      <i/>
      <sz val="10"/>
      <color rgb="FF6C6C80"/>
      <name val="Calibri"/>
      <family val="2"/>
    </font>
    <font>
      <b/>
      <sz val="20"/>
      <color rgb="FF22223B"/>
      <name val="Calibri"/>
      <family val="2"/>
    </font>
    <font>
      <i/>
      <sz val="10"/>
      <color rgb="FF17A2B8"/>
      <name val="Calibri"/>
      <family val="2"/>
    </font>
    <font>
      <sz val="9"/>
      <color rgb="FFFFFFFF"/>
      <name val="Calibri"/>
      <family val="2"/>
    </font>
    <font>
      <b/>
      <sz val="16"/>
      <color rgb="FFFFFFFF"/>
      <name val="Calibri"/>
      <family val="2"/>
    </font>
    <font>
      <b/>
      <sz val="12"/>
      <color rgb="FF22223B"/>
      <name val="Calibri"/>
      <family val="2"/>
    </font>
    <font>
      <b/>
      <sz val="9"/>
      <color rgb="FFFFFFFF"/>
      <name val="Calibri"/>
      <family val="2"/>
    </font>
    <font>
      <sz val="9"/>
      <color rgb="FF2D2D3A"/>
      <name val="Calibri"/>
      <family val="2"/>
    </font>
    <font>
      <b/>
      <sz val="14"/>
      <color rgb="FF22223B"/>
      <name val="Calibri"/>
      <family val="2"/>
    </font>
    <font>
      <b/>
      <sz val="10"/>
      <color rgb="FF2D2D3A"/>
      <name val="Calibri"/>
      <family val="2"/>
    </font>
    <font>
      <sz val="10"/>
      <color rgb="FF0000FF"/>
      <name val="Calibri"/>
      <family val="2"/>
    </font>
    <font>
      <i/>
      <sz val="9"/>
      <color rgb="FF6C6C80"/>
      <name val="Calibri"/>
      <family val="2"/>
    </font>
    <font>
      <i/>
      <sz val="8"/>
      <color rgb="FF6C6C80"/>
      <name val="Calibri"/>
      <family val="2"/>
    </font>
    <font>
      <sz val="9"/>
      <color rgb="FF0000FF"/>
      <name val="Calibri"/>
      <family val="2"/>
    </font>
    <font>
      <b/>
      <sz val="9"/>
      <color rgb="FF2D2D3A"/>
      <name val="Calibri"/>
      <family val="2"/>
    </font>
    <font>
      <i/>
      <sz val="9"/>
      <color rgb="FF2D2D3A"/>
      <name val="Calibri"/>
      <family val="2"/>
    </font>
    <font>
      <b/>
      <sz val="10"/>
      <color rgb="FF22223B"/>
      <name val="Calibri"/>
      <family val="2"/>
    </font>
    <font>
      <b/>
      <sz val="11"/>
      <color rgb="FFFF0000"/>
      <name val="Calibri"/>
      <family val="2"/>
      <charset val="1"/>
    </font>
    <font>
      <sz val="11"/>
      <color rgb="FFFF0000"/>
      <name val="Calibri"/>
      <family val="2"/>
      <charset val="1"/>
    </font>
  </fonts>
  <fills count="15">
    <fill>
      <patternFill patternType="none"/>
    </fill>
    <fill>
      <patternFill patternType="gray125"/>
    </fill>
    <fill>
      <patternFill patternType="solid">
        <fgColor rgb="FFFFF4E5"/>
        <bgColor rgb="FFF9F9F9"/>
      </patternFill>
    </fill>
    <fill>
      <patternFill patternType="solid">
        <fgColor rgb="FF17A2B8"/>
        <bgColor rgb="FF008080"/>
      </patternFill>
    </fill>
    <fill>
      <patternFill patternType="solid">
        <fgColor rgb="FFFF6B6B"/>
        <bgColor rgb="FFFF6600"/>
      </patternFill>
    </fill>
    <fill>
      <patternFill patternType="solid">
        <fgColor rgb="FF7B5EA7"/>
        <bgColor rgb="FF6C6C80"/>
      </patternFill>
    </fill>
    <fill>
      <patternFill patternType="solid">
        <fgColor rgb="FF22223B"/>
        <bgColor rgb="FF2D2D3A"/>
      </patternFill>
    </fill>
    <fill>
      <patternFill patternType="solid">
        <fgColor rgb="FF4ECDC4"/>
        <bgColor rgb="FF17A2B8"/>
      </patternFill>
    </fill>
    <fill>
      <patternFill patternType="solid">
        <fgColor rgb="FFFFB84C"/>
        <bgColor rgb="FFFF9900"/>
      </patternFill>
    </fill>
    <fill>
      <patternFill patternType="solid">
        <fgColor rgb="FFE0F5F7"/>
        <bgColor rgb="FFF4F6FB"/>
      </patternFill>
    </fill>
    <fill>
      <patternFill patternType="solid">
        <fgColor rgb="FFEDE7F3"/>
        <bgColor rgb="FFFFE8E8"/>
      </patternFill>
    </fill>
    <fill>
      <patternFill patternType="solid">
        <fgColor rgb="FFFFFFFF"/>
        <bgColor rgb="FFF9F9F9"/>
      </patternFill>
    </fill>
    <fill>
      <patternFill patternType="solid">
        <fgColor rgb="FFF4F6FB"/>
        <bgColor rgb="FFF9F9F9"/>
      </patternFill>
    </fill>
    <fill>
      <patternFill patternType="solid">
        <fgColor rgb="FFFFE8E8"/>
        <bgColor rgb="FFFFF4E5"/>
      </patternFill>
    </fill>
    <fill>
      <patternFill patternType="solid">
        <fgColor theme="2" tint="-9.9978637043366805E-2"/>
        <bgColor indexed="64"/>
      </patternFill>
    </fill>
  </fills>
  <borders count="2">
    <border>
      <left/>
      <right/>
      <top/>
      <bottom/>
      <diagonal/>
    </border>
    <border>
      <left style="thin">
        <color rgb="FFD9DCE8"/>
      </left>
      <right style="thin">
        <color rgb="FFD9DCE8"/>
      </right>
      <top style="thin">
        <color rgb="FFD9DCE8"/>
      </top>
      <bottom style="thin">
        <color rgb="FFD9DCE8"/>
      </bottom>
      <diagonal/>
    </border>
  </borders>
  <cellStyleXfs count="1">
    <xf numFmtId="0" fontId="0" fillId="0" borderId="0"/>
  </cellStyleXfs>
  <cellXfs count="75">
    <xf numFmtId="0" fontId="0" fillId="0" borderId="0" xfId="0"/>
    <xf numFmtId="0" fontId="13" fillId="10" borderId="0" xfId="0" applyFont="1" applyFill="1" applyAlignment="1">
      <alignment vertical="center" wrapText="1"/>
    </xf>
    <xf numFmtId="164" fontId="10" fillId="5" borderId="0" xfId="0" applyNumberFormat="1" applyFont="1" applyFill="1" applyAlignment="1">
      <alignment horizontal="center" vertical="center"/>
    </xf>
    <xf numFmtId="166" fontId="10" fillId="8" borderId="0" xfId="0" applyNumberFormat="1" applyFont="1" applyFill="1" applyAlignment="1">
      <alignment horizontal="center" vertical="center"/>
    </xf>
    <xf numFmtId="164" fontId="10" fillId="7" borderId="0" xfId="0" applyNumberFormat="1" applyFont="1" applyFill="1" applyAlignment="1">
      <alignment horizontal="center" vertical="center"/>
    </xf>
    <xf numFmtId="0" fontId="9" fillId="8" borderId="0" xfId="0" applyFont="1" applyFill="1" applyAlignment="1">
      <alignment horizontal="center" vertical="center" wrapText="1"/>
    </xf>
    <xf numFmtId="0" fontId="9" fillId="7" borderId="0" xfId="0" applyFont="1" applyFill="1" applyAlignment="1">
      <alignment horizontal="center" vertical="center" wrapText="1"/>
    </xf>
    <xf numFmtId="165" fontId="10" fillId="6" borderId="0" xfId="0" applyNumberFormat="1" applyFont="1" applyFill="1" applyAlignment="1">
      <alignment horizontal="center" vertical="center"/>
    </xf>
    <xf numFmtId="165" fontId="10" fillId="5" borderId="0" xfId="0" applyNumberFormat="1" applyFont="1" applyFill="1" applyAlignment="1">
      <alignment horizontal="center" vertical="center"/>
    </xf>
    <xf numFmtId="164" fontId="10" fillId="4" borderId="0" xfId="0" applyNumberFormat="1" applyFont="1" applyFill="1" applyAlignment="1">
      <alignment horizontal="center" vertical="center"/>
    </xf>
    <xf numFmtId="164" fontId="10" fillId="3" borderId="0" xfId="0" applyNumberFormat="1" applyFont="1" applyFill="1" applyAlignment="1">
      <alignment horizontal="center" vertical="center"/>
    </xf>
    <xf numFmtId="0" fontId="9" fillId="6" borderId="0" xfId="0" applyFont="1" applyFill="1" applyAlignment="1">
      <alignment horizontal="center" vertical="center" wrapText="1"/>
    </xf>
    <xf numFmtId="0" fontId="9" fillId="5" borderId="0" xfId="0" applyFont="1" applyFill="1" applyAlignment="1">
      <alignment horizontal="center" vertical="center" wrapText="1"/>
    </xf>
    <xf numFmtId="0" fontId="9" fillId="4" borderId="0" xfId="0" applyFont="1" applyFill="1" applyAlignment="1">
      <alignment horizontal="center" vertical="center" wrapText="1"/>
    </xf>
    <xf numFmtId="0" fontId="9" fillId="3" borderId="0" xfId="0" applyFont="1" applyFill="1" applyAlignment="1">
      <alignment horizontal="center" vertical="center" wrapText="1"/>
    </xf>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wrapText="1"/>
    </xf>
    <xf numFmtId="0" fontId="4"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11" fillId="0" borderId="0" xfId="0" applyFont="1" applyAlignment="1">
      <alignment vertical="center"/>
    </xf>
    <xf numFmtId="0" fontId="12" fillId="6" borderId="0" xfId="0" applyFont="1" applyFill="1" applyAlignment="1">
      <alignment horizontal="center" vertical="center"/>
    </xf>
    <xf numFmtId="0" fontId="13" fillId="0" borderId="0" xfId="0" applyFont="1" applyAlignment="1">
      <alignment vertical="center"/>
    </xf>
    <xf numFmtId="164" fontId="13" fillId="0" borderId="0" xfId="0" applyNumberFormat="1" applyFont="1" applyAlignment="1">
      <alignment horizontal="right" vertical="center"/>
    </xf>
    <xf numFmtId="0" fontId="13" fillId="9" borderId="0" xfId="0" applyFont="1" applyFill="1" applyAlignment="1">
      <alignment vertical="center"/>
    </xf>
    <xf numFmtId="164" fontId="13" fillId="9" borderId="0" xfId="0" applyNumberFormat="1" applyFont="1" applyFill="1" applyAlignment="1">
      <alignment horizontal="right" vertical="center"/>
    </xf>
    <xf numFmtId="164" fontId="13" fillId="10" borderId="0" xfId="0" applyNumberFormat="1" applyFont="1" applyFill="1" applyAlignment="1">
      <alignment horizontal="right" vertical="center"/>
    </xf>
    <xf numFmtId="0" fontId="13" fillId="11" borderId="0" xfId="0" applyFont="1" applyFill="1" applyAlignment="1">
      <alignment vertical="center"/>
    </xf>
    <xf numFmtId="164" fontId="13" fillId="11" borderId="0" xfId="0" applyNumberFormat="1" applyFont="1" applyFill="1" applyAlignment="1">
      <alignment horizontal="right" vertical="center"/>
    </xf>
    <xf numFmtId="166" fontId="13" fillId="11" borderId="0" xfId="0" applyNumberFormat="1" applyFont="1" applyFill="1" applyAlignment="1">
      <alignment horizontal="right" vertical="center"/>
    </xf>
    <xf numFmtId="0" fontId="14" fillId="0" borderId="0" xfId="0" applyFont="1" applyAlignment="1">
      <alignment vertical="center"/>
    </xf>
    <xf numFmtId="0" fontId="15" fillId="12" borderId="1" xfId="0" applyFont="1" applyFill="1" applyBorder="1" applyAlignment="1">
      <alignment vertical="center"/>
    </xf>
    <xf numFmtId="0" fontId="5" fillId="0" borderId="1" xfId="0" applyFont="1" applyBorder="1" applyAlignment="1">
      <alignment horizontal="left" vertical="center"/>
    </xf>
    <xf numFmtId="164" fontId="16" fillId="0" borderId="1" xfId="0" applyNumberFormat="1" applyFont="1" applyBorder="1" applyAlignment="1">
      <alignment horizontal="right" vertical="center"/>
    </xf>
    <xf numFmtId="165" fontId="16" fillId="0" borderId="1" xfId="0" applyNumberFormat="1" applyFont="1" applyBorder="1" applyAlignment="1">
      <alignment horizontal="right" vertical="center"/>
    </xf>
    <xf numFmtId="0" fontId="12" fillId="6" borderId="1" xfId="0" applyFont="1" applyFill="1" applyBorder="1" applyAlignment="1">
      <alignment horizontal="center" vertical="center" wrapText="1"/>
    </xf>
    <xf numFmtId="0" fontId="5" fillId="0" borderId="1" xfId="0" applyFont="1" applyBorder="1" applyAlignment="1">
      <alignment vertical="center"/>
    </xf>
    <xf numFmtId="165"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0" fontId="15" fillId="9" borderId="1" xfId="0" applyFont="1" applyFill="1" applyBorder="1" applyAlignment="1">
      <alignment vertical="center"/>
    </xf>
    <xf numFmtId="164" fontId="15" fillId="9" borderId="1" xfId="0" applyNumberFormat="1" applyFont="1" applyFill="1" applyBorder="1" applyAlignment="1">
      <alignment horizontal="right" vertical="center"/>
    </xf>
    <xf numFmtId="165" fontId="15" fillId="9" borderId="1" xfId="0" applyNumberFormat="1" applyFont="1" applyFill="1" applyBorder="1" applyAlignment="1">
      <alignment horizontal="right" vertical="center"/>
    </xf>
    <xf numFmtId="0" fontId="17" fillId="0" borderId="0" xfId="0" applyFont="1" applyAlignment="1">
      <alignment vertical="center"/>
    </xf>
    <xf numFmtId="0" fontId="18" fillId="0" borderId="1" xfId="0" applyFont="1" applyBorder="1" applyAlignment="1">
      <alignment vertical="center"/>
    </xf>
    <xf numFmtId="166" fontId="5" fillId="0" borderId="1" xfId="0" applyNumberFormat="1" applyFont="1" applyBorder="1" applyAlignment="1">
      <alignment horizontal="right" vertical="center"/>
    </xf>
    <xf numFmtId="0" fontId="13" fillId="0" borderId="1" xfId="0" applyFont="1" applyBorder="1" applyAlignment="1">
      <alignment vertical="center"/>
    </xf>
    <xf numFmtId="0" fontId="13" fillId="0" borderId="1" xfId="0" applyFont="1" applyBorder="1" applyAlignment="1">
      <alignment horizontal="center" vertical="center"/>
    </xf>
    <xf numFmtId="164" fontId="19" fillId="0" borderId="1" xfId="0" applyNumberFormat="1" applyFont="1" applyBorder="1" applyAlignment="1">
      <alignment horizontal="right" vertical="center"/>
    </xf>
    <xf numFmtId="164" fontId="13" fillId="0" borderId="1" xfId="0" applyNumberFormat="1" applyFont="1" applyBorder="1" applyAlignment="1">
      <alignment horizontal="right" vertical="center"/>
    </xf>
    <xf numFmtId="0" fontId="20" fillId="9" borderId="1" xfId="0" applyFont="1" applyFill="1" applyBorder="1" applyAlignment="1">
      <alignment vertical="center"/>
    </xf>
    <xf numFmtId="0" fontId="5" fillId="9" borderId="1" xfId="0" applyFont="1" applyFill="1" applyBorder="1" applyAlignment="1">
      <alignment vertical="center"/>
    </xf>
    <xf numFmtId="164" fontId="20" fillId="9" borderId="1" xfId="0" applyNumberFormat="1" applyFont="1" applyFill="1" applyBorder="1" applyAlignment="1">
      <alignment horizontal="right" vertical="center"/>
    </xf>
    <xf numFmtId="165" fontId="13" fillId="0" borderId="1" xfId="0" applyNumberFormat="1" applyFont="1" applyBorder="1" applyAlignment="1">
      <alignment horizontal="right" vertical="center"/>
    </xf>
    <xf numFmtId="0" fontId="20" fillId="10" borderId="1" xfId="0" applyFont="1" applyFill="1" applyBorder="1" applyAlignment="1">
      <alignment vertical="center"/>
    </xf>
    <xf numFmtId="0" fontId="5" fillId="10" borderId="1" xfId="0" applyFont="1" applyFill="1" applyBorder="1" applyAlignment="1">
      <alignment vertical="center"/>
    </xf>
    <xf numFmtId="164" fontId="20" fillId="10" borderId="1" xfId="0" applyNumberFormat="1" applyFont="1" applyFill="1" applyBorder="1" applyAlignment="1">
      <alignment horizontal="right" vertical="center"/>
    </xf>
    <xf numFmtId="165" fontId="20" fillId="10" borderId="1" xfId="0" applyNumberFormat="1" applyFont="1" applyFill="1" applyBorder="1" applyAlignment="1">
      <alignment horizontal="right" vertical="center"/>
    </xf>
    <xf numFmtId="3" fontId="19" fillId="0" borderId="1" xfId="0" applyNumberFormat="1" applyFont="1" applyBorder="1" applyAlignment="1">
      <alignment horizontal="right" vertical="center"/>
    </xf>
    <xf numFmtId="0" fontId="21" fillId="0" borderId="1" xfId="0" applyFont="1" applyBorder="1" applyAlignment="1">
      <alignment vertical="center"/>
    </xf>
    <xf numFmtId="0" fontId="20" fillId="13" borderId="1" xfId="0" applyFont="1" applyFill="1" applyBorder="1" applyAlignment="1">
      <alignment vertical="center"/>
    </xf>
    <xf numFmtId="3" fontId="20" fillId="13" borderId="1" xfId="0" applyNumberFormat="1" applyFont="1" applyFill="1" applyBorder="1" applyAlignment="1">
      <alignment horizontal="right" vertical="center"/>
    </xf>
    <xf numFmtId="0" fontId="5" fillId="13" borderId="1" xfId="0" applyFont="1" applyFill="1" applyBorder="1" applyAlignment="1">
      <alignment vertical="center"/>
    </xf>
    <xf numFmtId="164" fontId="20" fillId="13" borderId="1" xfId="0" applyNumberFormat="1" applyFont="1" applyFill="1" applyBorder="1" applyAlignment="1">
      <alignment horizontal="right" vertical="center"/>
    </xf>
    <xf numFmtId="0" fontId="22" fillId="0" borderId="0" xfId="0" applyFont="1" applyAlignment="1">
      <alignment vertical="center"/>
    </xf>
    <xf numFmtId="0" fontId="13" fillId="12" borderId="1" xfId="0" applyFont="1" applyFill="1" applyBorder="1" applyAlignment="1">
      <alignment vertical="center"/>
    </xf>
    <xf numFmtId="164" fontId="13" fillId="12" borderId="1" xfId="0" applyNumberFormat="1" applyFont="1" applyFill="1" applyBorder="1" applyAlignment="1">
      <alignment horizontal="right" vertical="center"/>
    </xf>
    <xf numFmtId="3" fontId="13" fillId="0" borderId="1" xfId="0" applyNumberFormat="1" applyFont="1" applyBorder="1" applyAlignment="1">
      <alignment horizontal="right" vertical="center"/>
    </xf>
    <xf numFmtId="0" fontId="20" fillId="9" borderId="1" xfId="0" applyFont="1" applyFill="1" applyBorder="1" applyAlignment="1">
      <alignment horizontal="center" vertical="center"/>
    </xf>
    <xf numFmtId="165" fontId="19" fillId="0" borderId="1" xfId="0" applyNumberFormat="1" applyFont="1" applyBorder="1" applyAlignment="1">
      <alignment horizontal="right" vertical="center"/>
    </xf>
    <xf numFmtId="168" fontId="13" fillId="0" borderId="1" xfId="0" applyNumberFormat="1" applyFont="1" applyBorder="1" applyAlignment="1">
      <alignment horizontal="right" vertical="center"/>
    </xf>
    <xf numFmtId="0" fontId="13" fillId="11" borderId="0" xfId="0" applyFont="1" applyFill="1" applyAlignment="1">
      <alignment vertical="center" wrapText="1"/>
    </xf>
    <xf numFmtId="0" fontId="23" fillId="14"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D9D9D9"/>
      <rgbColor rgb="FF878787"/>
      <rgbColor rgb="FF9999FF"/>
      <rgbColor rgb="FF7B5EA7"/>
      <rgbColor rgb="FFFFF4E5"/>
      <rgbColor rgb="FFE0F5F7"/>
      <rgbColor rgb="FF660066"/>
      <rgbColor rgb="FFFF6B6B"/>
      <rgbColor rgb="FF0066CC"/>
      <rgbColor rgb="FFD9DCE8"/>
      <rgbColor rgb="FF000080"/>
      <rgbColor rgb="FFFF00FF"/>
      <rgbColor rgb="FFFFFF00"/>
      <rgbColor rgb="FF00FFFF"/>
      <rgbColor rgb="FF800080"/>
      <rgbColor rgb="FF800000"/>
      <rgbColor rgb="FF008080"/>
      <rgbColor rgb="FF0000FF"/>
      <rgbColor rgb="FF00CCFF"/>
      <rgbColor rgb="FFF4F6FB"/>
      <rgbColor rgb="FFEDE7F3"/>
      <rgbColor rgb="FFFFE8E8"/>
      <rgbColor rgb="FF99CCFF"/>
      <rgbColor rgb="FFFF99CC"/>
      <rgbColor rgb="FFCC99FF"/>
      <rgbColor rgb="FFF9F9F9"/>
      <rgbColor rgb="FF4F81BD"/>
      <rgbColor rgb="FF4ECDC4"/>
      <rgbColor rgb="FF99CC00"/>
      <rgbColor rgb="FFFFB84C"/>
      <rgbColor rgb="FFFF9900"/>
      <rgbColor rgb="FFFF6600"/>
      <rgbColor rgb="FF6C6C80"/>
      <rgbColor rgb="FF969696"/>
      <rgbColor rgb="FF003366"/>
      <rgbColor rgb="FF17A2B8"/>
      <rgbColor rgb="FF003300"/>
      <rgbColor rgb="FF22223B"/>
      <rgbColor rgb="FF993300"/>
      <rgbColor rgb="FF993366"/>
      <rgbColor rgb="FF333399"/>
      <rgbColor rgb="FF2D2D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Cost Breakdown</a:t>
            </a:r>
          </a:p>
        </c:rich>
      </c:tx>
      <c:overlay val="0"/>
      <c:spPr>
        <a:noFill/>
        <a:ln w="0">
          <a:noFill/>
        </a:ln>
      </c:spPr>
    </c:title>
    <c:autoTitleDeleted val="0"/>
    <c:plotArea>
      <c:layout/>
      <c:doughnutChart>
        <c:varyColors val="1"/>
        <c:ser>
          <c:idx val="0"/>
          <c:order val="0"/>
          <c:tx>
            <c:strRef>
              <c:f>Dashboard!$C$15</c:f>
              <c:strCache>
                <c:ptCount val="1"/>
                <c:pt idx="0">
                  <c:v>Actual (₹)</c:v>
                </c:pt>
              </c:strCache>
            </c:strRef>
          </c:tx>
          <c:spPr>
            <a:solidFill>
              <a:srgbClr val="4F81BD"/>
            </a:solidFill>
            <a:ln w="0">
              <a:noFill/>
            </a:ln>
          </c:spPr>
          <c:dPt>
            <c:idx val="0"/>
            <c:bubble3D val="0"/>
            <c:spPr>
              <a:solidFill>
                <a:srgbClr val="17A2B8"/>
              </a:solidFill>
              <a:ln w="0">
                <a:noFill/>
              </a:ln>
            </c:spPr>
            <c:extLst>
              <c:ext xmlns:c16="http://schemas.microsoft.com/office/drawing/2014/chart" uri="{C3380CC4-5D6E-409C-BE32-E72D297353CC}">
                <c16:uniqueId val="{00000001-D9D6-4B6B-9608-FF7853E596E8}"/>
              </c:ext>
            </c:extLst>
          </c:dPt>
          <c:dPt>
            <c:idx val="1"/>
            <c:bubble3D val="0"/>
            <c:spPr>
              <a:solidFill>
                <a:srgbClr val="FF6B6B"/>
              </a:solidFill>
              <a:ln w="0">
                <a:noFill/>
              </a:ln>
            </c:spPr>
            <c:extLst>
              <c:ext xmlns:c16="http://schemas.microsoft.com/office/drawing/2014/chart" uri="{C3380CC4-5D6E-409C-BE32-E72D297353CC}">
                <c16:uniqueId val="{00000003-D9D6-4B6B-9608-FF7853E596E8}"/>
              </c:ext>
            </c:extLst>
          </c:dPt>
          <c:dPt>
            <c:idx val="2"/>
            <c:bubble3D val="0"/>
            <c:spPr>
              <a:solidFill>
                <a:srgbClr val="7B5EA7"/>
              </a:solidFill>
              <a:ln w="0">
                <a:noFill/>
              </a:ln>
            </c:spPr>
            <c:extLst>
              <c:ext xmlns:c16="http://schemas.microsoft.com/office/drawing/2014/chart" uri="{C3380CC4-5D6E-409C-BE32-E72D297353CC}">
                <c16:uniqueId val="{00000005-D9D6-4B6B-9608-FF7853E596E8}"/>
              </c:ext>
            </c:extLst>
          </c:dPt>
          <c:dPt>
            <c:idx val="3"/>
            <c:bubble3D val="0"/>
            <c:spPr>
              <a:solidFill>
                <a:srgbClr val="4ECDC4"/>
              </a:solidFill>
              <a:ln w="0">
                <a:noFill/>
              </a:ln>
            </c:spPr>
            <c:extLst>
              <c:ext xmlns:c16="http://schemas.microsoft.com/office/drawing/2014/chart" uri="{C3380CC4-5D6E-409C-BE32-E72D297353CC}">
                <c16:uniqueId val="{00000007-D9D6-4B6B-9608-FF7853E596E8}"/>
              </c:ext>
            </c:extLst>
          </c:dPt>
          <c:dPt>
            <c:idx val="4"/>
            <c:bubble3D val="0"/>
            <c:spPr>
              <a:solidFill>
                <a:srgbClr val="FFB84C"/>
              </a:solidFill>
              <a:ln w="0">
                <a:noFill/>
              </a:ln>
            </c:spPr>
            <c:extLst>
              <c:ext xmlns:c16="http://schemas.microsoft.com/office/drawing/2014/chart" uri="{C3380CC4-5D6E-409C-BE32-E72D297353CC}">
                <c16:uniqueId val="{00000009-D9D6-4B6B-9608-FF7853E596E8}"/>
              </c:ext>
            </c:extLst>
          </c:dPt>
          <c:dLbls>
            <c:dLbl>
              <c:idx val="0"/>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1-D9D6-4B6B-9608-FF7853E596E8}"/>
                </c:ext>
              </c:extLst>
            </c:dLbl>
            <c:dLbl>
              <c:idx val="1"/>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3-D9D6-4B6B-9608-FF7853E596E8}"/>
                </c:ext>
              </c:extLst>
            </c:dLbl>
            <c:dLbl>
              <c:idx val="2"/>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5-D9D6-4B6B-9608-FF7853E596E8}"/>
                </c:ext>
              </c:extLst>
            </c:dLbl>
            <c:dLbl>
              <c:idx val="3"/>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7-D9D6-4B6B-9608-FF7853E596E8}"/>
                </c:ext>
              </c:extLst>
            </c:dLbl>
            <c:dLbl>
              <c:idx val="4"/>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6="http://schemas.microsoft.com/office/drawing/2014/chart" uri="{C3380CC4-5D6E-409C-BE32-E72D297353CC}">
                  <c16:uniqueId val="{00000009-D9D6-4B6B-9608-FF7853E596E8}"/>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Dashboard!$B$16:$B$20</c:f>
              <c:strCache>
                <c:ptCount val="5"/>
                <c:pt idx="0">
                  <c:v>Material</c:v>
                </c:pt>
                <c:pt idx="1">
                  <c:v>Labour</c:v>
                </c:pt>
                <c:pt idx="2">
                  <c:v>Subcontractor</c:v>
                </c:pt>
                <c:pt idx="3">
                  <c:v>Equipment</c:v>
                </c:pt>
                <c:pt idx="4">
                  <c:v>Overheads</c:v>
                </c:pt>
              </c:strCache>
            </c:strRef>
          </c:cat>
          <c:val>
            <c:numRef>
              <c:f>Dashboard!$C$16:$C$20</c:f>
              <c:numCache>
                <c:formatCode>\₹#,##0;"(₹"#,##0\);\-</c:formatCode>
                <c:ptCount val="5"/>
                <c:pt idx="0">
                  <c:v>50200000</c:v>
                </c:pt>
                <c:pt idx="1">
                  <c:v>30800000</c:v>
                </c:pt>
                <c:pt idx="2">
                  <c:v>23100000</c:v>
                </c:pt>
                <c:pt idx="3">
                  <c:v>10600000</c:v>
                </c:pt>
                <c:pt idx="4">
                  <c:v>7900000</c:v>
                </c:pt>
              </c:numCache>
            </c:numRef>
          </c:val>
          <c:extLst>
            <c:ext xmlns:c16="http://schemas.microsoft.com/office/drawing/2014/chart" uri="{C3380CC4-5D6E-409C-BE32-E72D297353CC}">
              <c16:uniqueId val="{0000000A-D9D6-4B6B-9608-FF7853E596E8}"/>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 Bills — Certified vs Received</a:t>
            </a:r>
          </a:p>
        </c:rich>
      </c:tx>
      <c:overlay val="0"/>
      <c:spPr>
        <a:noFill/>
        <a:ln w="0">
          <a:noFill/>
        </a:ln>
      </c:spPr>
    </c:title>
    <c:autoTitleDeleted val="0"/>
    <c:plotArea>
      <c:layout/>
      <c:barChart>
        <c:barDir val="col"/>
        <c:grouping val="clustered"/>
        <c:varyColors val="0"/>
        <c:ser>
          <c:idx val="0"/>
          <c:order val="0"/>
          <c:tx>
            <c:strRef>
              <c:f>RA_Bills!$E$5</c:f>
              <c:strCache>
                <c:ptCount val="1"/>
                <c:pt idx="0">
                  <c:v>Amount Certified (₹)</c:v>
                </c:pt>
              </c:strCache>
            </c:strRef>
          </c:tx>
          <c:spPr>
            <a:solidFill>
              <a:srgbClr val="17A2B8"/>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RA_Bills!$B$6:$B$14</c:f>
              <c:strCache>
                <c:ptCount val="9"/>
                <c:pt idx="0">
                  <c:v>RA-01</c:v>
                </c:pt>
                <c:pt idx="1">
                  <c:v>RA-02</c:v>
                </c:pt>
                <c:pt idx="2">
                  <c:v>RA-03</c:v>
                </c:pt>
                <c:pt idx="3">
                  <c:v>RA-04</c:v>
                </c:pt>
                <c:pt idx="4">
                  <c:v>RA-05</c:v>
                </c:pt>
                <c:pt idx="5">
                  <c:v>RA-06</c:v>
                </c:pt>
                <c:pt idx="6">
                  <c:v>RA-07</c:v>
                </c:pt>
                <c:pt idx="7">
                  <c:v>RA-08</c:v>
                </c:pt>
                <c:pt idx="8">
                  <c:v>RA-09</c:v>
                </c:pt>
              </c:strCache>
            </c:strRef>
          </c:cat>
          <c:val>
            <c:numRef>
              <c:f>RA_Bills!$E$6:$E$14</c:f>
              <c:numCache>
                <c:formatCode>\₹#,##0;"(₹"#,##0\);\-</c:formatCode>
                <c:ptCount val="9"/>
                <c:pt idx="0">
                  <c:v>12200000</c:v>
                </c:pt>
                <c:pt idx="1">
                  <c:v>14500000</c:v>
                </c:pt>
                <c:pt idx="2">
                  <c:v>15900000</c:v>
                </c:pt>
                <c:pt idx="3">
                  <c:v>14800000</c:v>
                </c:pt>
                <c:pt idx="4">
                  <c:v>17000000</c:v>
                </c:pt>
                <c:pt idx="5">
                  <c:v>13600000</c:v>
                </c:pt>
                <c:pt idx="6">
                  <c:v>15200000</c:v>
                </c:pt>
                <c:pt idx="7">
                  <c:v>13900000</c:v>
                </c:pt>
                <c:pt idx="8">
                  <c:v>11500000</c:v>
                </c:pt>
              </c:numCache>
            </c:numRef>
          </c:val>
          <c:extLst>
            <c:ext xmlns:c16="http://schemas.microsoft.com/office/drawing/2014/chart" uri="{C3380CC4-5D6E-409C-BE32-E72D297353CC}">
              <c16:uniqueId val="{00000000-DA83-48DA-8CEE-2B6DE2ABD5B9}"/>
            </c:ext>
          </c:extLst>
        </c:ser>
        <c:ser>
          <c:idx val="1"/>
          <c:order val="1"/>
          <c:tx>
            <c:strRef>
              <c:f>RA_Bills!$G$5</c:f>
              <c:strCache>
                <c:ptCount val="1"/>
                <c:pt idx="0">
                  <c:v>Amount Received (₹)</c:v>
                </c:pt>
              </c:strCache>
            </c:strRef>
          </c:tx>
          <c:spPr>
            <a:solidFill>
              <a:srgbClr val="FF6B6B"/>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RA_Bills!$B$6:$B$14</c:f>
              <c:strCache>
                <c:ptCount val="9"/>
                <c:pt idx="0">
                  <c:v>RA-01</c:v>
                </c:pt>
                <c:pt idx="1">
                  <c:v>RA-02</c:v>
                </c:pt>
                <c:pt idx="2">
                  <c:v>RA-03</c:v>
                </c:pt>
                <c:pt idx="3">
                  <c:v>RA-04</c:v>
                </c:pt>
                <c:pt idx="4">
                  <c:v>RA-05</c:v>
                </c:pt>
                <c:pt idx="5">
                  <c:v>RA-06</c:v>
                </c:pt>
                <c:pt idx="6">
                  <c:v>RA-07</c:v>
                </c:pt>
                <c:pt idx="7">
                  <c:v>RA-08</c:v>
                </c:pt>
                <c:pt idx="8">
                  <c:v>RA-09</c:v>
                </c:pt>
              </c:strCache>
            </c:strRef>
          </c:cat>
          <c:val>
            <c:numRef>
              <c:f>RA_Bills!$G$6:$G$14</c:f>
              <c:numCache>
                <c:formatCode>\₹#,##0;"(₹"#,##0\);\-</c:formatCode>
                <c:ptCount val="9"/>
                <c:pt idx="0">
                  <c:v>11200000</c:v>
                </c:pt>
                <c:pt idx="1">
                  <c:v>13400000</c:v>
                </c:pt>
                <c:pt idx="2">
                  <c:v>14600000</c:v>
                </c:pt>
                <c:pt idx="3">
                  <c:v>13600000</c:v>
                </c:pt>
                <c:pt idx="4">
                  <c:v>15700000</c:v>
                </c:pt>
                <c:pt idx="5">
                  <c:v>12300000</c:v>
                </c:pt>
                <c:pt idx="6">
                  <c:v>13900000</c:v>
                </c:pt>
                <c:pt idx="7">
                  <c:v>11800000</c:v>
                </c:pt>
                <c:pt idx="8">
                  <c:v>7600000</c:v>
                </c:pt>
              </c:numCache>
            </c:numRef>
          </c:val>
          <c:extLst>
            <c:ext xmlns:c16="http://schemas.microsoft.com/office/drawing/2014/chart" uri="{C3380CC4-5D6E-409C-BE32-E72D297353CC}">
              <c16:uniqueId val="{00000001-DA83-48DA-8CEE-2B6DE2ABD5B9}"/>
            </c:ext>
          </c:extLst>
        </c:ser>
        <c:dLbls>
          <c:showLegendKey val="0"/>
          <c:showVal val="0"/>
          <c:showCatName val="0"/>
          <c:showSerName val="0"/>
          <c:showPercent val="0"/>
          <c:showBubbleSize val="0"/>
        </c:dLbls>
        <c:gapWidth val="150"/>
        <c:axId val="34356682"/>
        <c:axId val="67892734"/>
      </c:barChart>
      <c:catAx>
        <c:axId val="343566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892734"/>
        <c:crosses val="autoZero"/>
        <c:auto val="1"/>
        <c:lblAlgn val="ctr"/>
        <c:lblOffset val="100"/>
        <c:noMultiLvlLbl val="0"/>
      </c:catAx>
      <c:valAx>
        <c:axId val="67892734"/>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35668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Cash Flow — Inflow vs Outflow</a:t>
            </a:r>
          </a:p>
        </c:rich>
      </c:tx>
      <c:overlay val="0"/>
      <c:spPr>
        <a:noFill/>
        <a:ln w="0">
          <a:noFill/>
        </a:ln>
      </c:spPr>
    </c:title>
    <c:autoTitleDeleted val="0"/>
    <c:plotArea>
      <c:layout/>
      <c:lineChart>
        <c:grouping val="standard"/>
        <c:varyColors val="0"/>
        <c:ser>
          <c:idx val="0"/>
          <c:order val="0"/>
          <c:tx>
            <c:strRef>
              <c:f>Cashflow!$C$5</c:f>
              <c:strCache>
                <c:ptCount val="1"/>
                <c:pt idx="0">
                  <c:v>Inflow (₹)</c:v>
                </c:pt>
              </c:strCache>
            </c:strRef>
          </c:tx>
          <c:spPr>
            <a:ln w="28080">
              <a:solidFill>
                <a:srgbClr val="17A2B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Cashflow!$B$6:$B$14</c:f>
              <c:strCache>
                <c:ptCount val="9"/>
                <c:pt idx="0">
                  <c:v>May-24</c:v>
                </c:pt>
                <c:pt idx="1">
                  <c:v>Jul-24</c:v>
                </c:pt>
                <c:pt idx="2">
                  <c:v>Sep-24</c:v>
                </c:pt>
                <c:pt idx="3">
                  <c:v>Nov-24</c:v>
                </c:pt>
                <c:pt idx="4">
                  <c:v>Jan-25</c:v>
                </c:pt>
                <c:pt idx="5">
                  <c:v>Mar-25</c:v>
                </c:pt>
                <c:pt idx="6">
                  <c:v>May-25</c:v>
                </c:pt>
                <c:pt idx="7">
                  <c:v>Jul-25</c:v>
                </c:pt>
                <c:pt idx="8">
                  <c:v>Sep-25</c:v>
                </c:pt>
              </c:strCache>
            </c:strRef>
          </c:cat>
          <c:val>
            <c:numRef>
              <c:f>Cashflow!$C$6:$C$14</c:f>
              <c:numCache>
                <c:formatCode>\₹#,##0;"(₹"#,##0\);\-</c:formatCode>
                <c:ptCount val="9"/>
                <c:pt idx="0">
                  <c:v>11200000</c:v>
                </c:pt>
                <c:pt idx="1">
                  <c:v>13400000</c:v>
                </c:pt>
                <c:pt idx="2">
                  <c:v>14600000</c:v>
                </c:pt>
                <c:pt idx="3">
                  <c:v>13600000</c:v>
                </c:pt>
                <c:pt idx="4">
                  <c:v>15700000</c:v>
                </c:pt>
                <c:pt idx="5">
                  <c:v>12300000</c:v>
                </c:pt>
                <c:pt idx="6">
                  <c:v>13900000</c:v>
                </c:pt>
                <c:pt idx="7">
                  <c:v>11800000</c:v>
                </c:pt>
                <c:pt idx="8">
                  <c:v>7600000</c:v>
                </c:pt>
              </c:numCache>
            </c:numRef>
          </c:val>
          <c:smooth val="1"/>
          <c:extLst>
            <c:ext xmlns:c16="http://schemas.microsoft.com/office/drawing/2014/chart" uri="{C3380CC4-5D6E-409C-BE32-E72D297353CC}">
              <c16:uniqueId val="{00000000-38A4-4A9E-86C9-D320018EC5A6}"/>
            </c:ext>
          </c:extLst>
        </c:ser>
        <c:ser>
          <c:idx val="1"/>
          <c:order val="1"/>
          <c:tx>
            <c:strRef>
              <c:f>Cashflow!$D$5</c:f>
              <c:strCache>
                <c:ptCount val="1"/>
                <c:pt idx="0">
                  <c:v>Outflow (₹)</c:v>
                </c:pt>
              </c:strCache>
            </c:strRef>
          </c:tx>
          <c:spPr>
            <a:ln w="28080">
              <a:solidFill>
                <a:srgbClr val="FF6B6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Cashflow!$B$6:$B$14</c:f>
              <c:strCache>
                <c:ptCount val="9"/>
                <c:pt idx="0">
                  <c:v>May-24</c:v>
                </c:pt>
                <c:pt idx="1">
                  <c:v>Jul-24</c:v>
                </c:pt>
                <c:pt idx="2">
                  <c:v>Sep-24</c:v>
                </c:pt>
                <c:pt idx="3">
                  <c:v>Nov-24</c:v>
                </c:pt>
                <c:pt idx="4">
                  <c:v>Jan-25</c:v>
                </c:pt>
                <c:pt idx="5">
                  <c:v>Mar-25</c:v>
                </c:pt>
                <c:pt idx="6">
                  <c:v>May-25</c:v>
                </c:pt>
                <c:pt idx="7">
                  <c:v>Jul-25</c:v>
                </c:pt>
                <c:pt idx="8">
                  <c:v>Sep-25</c:v>
                </c:pt>
              </c:strCache>
            </c:strRef>
          </c:cat>
          <c:val>
            <c:numRef>
              <c:f>Cashflow!$D$6:$D$14</c:f>
              <c:numCache>
                <c:formatCode>\₹#,##0;"(₹"#,##0\);\-</c:formatCode>
                <c:ptCount val="9"/>
                <c:pt idx="0">
                  <c:v>9500000</c:v>
                </c:pt>
                <c:pt idx="1">
                  <c:v>12800000</c:v>
                </c:pt>
                <c:pt idx="2">
                  <c:v>14600000</c:v>
                </c:pt>
                <c:pt idx="3">
                  <c:v>13900000</c:v>
                </c:pt>
                <c:pt idx="4">
                  <c:v>15200000</c:v>
                </c:pt>
                <c:pt idx="5">
                  <c:v>14100000</c:v>
                </c:pt>
                <c:pt idx="6">
                  <c:v>13700000</c:v>
                </c:pt>
                <c:pt idx="7">
                  <c:v>13400000</c:v>
                </c:pt>
                <c:pt idx="8">
                  <c:v>11200000</c:v>
                </c:pt>
              </c:numCache>
            </c:numRef>
          </c:val>
          <c:smooth val="1"/>
          <c:extLst>
            <c:ext xmlns:c16="http://schemas.microsoft.com/office/drawing/2014/chart" uri="{C3380CC4-5D6E-409C-BE32-E72D297353CC}">
              <c16:uniqueId val="{00000001-38A4-4A9E-86C9-D320018EC5A6}"/>
            </c:ext>
          </c:extLst>
        </c:ser>
        <c:dLbls>
          <c:showLegendKey val="0"/>
          <c:showVal val="0"/>
          <c:showCatName val="0"/>
          <c:showSerName val="0"/>
          <c:showPercent val="0"/>
          <c:showBubbleSize val="0"/>
        </c:dLbls>
        <c:hiLowLines>
          <c:spPr>
            <a:ln w="0">
              <a:noFill/>
            </a:ln>
          </c:spPr>
        </c:hiLowLines>
        <c:smooth val="0"/>
        <c:axId val="12487100"/>
        <c:axId val="17381688"/>
      </c:lineChart>
      <c:catAx>
        <c:axId val="124871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381688"/>
        <c:crosses val="autoZero"/>
        <c:auto val="1"/>
        <c:lblAlgn val="ctr"/>
        <c:lblOffset val="100"/>
        <c:noMultiLvlLbl val="0"/>
      </c:catAx>
      <c:valAx>
        <c:axId val="1738168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4871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Milestone Progress — Planned vs Actual</a:t>
            </a:r>
          </a:p>
        </c:rich>
      </c:tx>
      <c:overlay val="0"/>
      <c:spPr>
        <a:noFill/>
        <a:ln w="0">
          <a:noFill/>
        </a:ln>
      </c:spPr>
    </c:title>
    <c:autoTitleDeleted val="0"/>
    <c:plotArea>
      <c:layout/>
      <c:barChart>
        <c:barDir val="bar"/>
        <c:grouping val="clustered"/>
        <c:varyColors val="0"/>
        <c:ser>
          <c:idx val="0"/>
          <c:order val="0"/>
          <c:tx>
            <c:strRef>
              <c:f>Milestones!$C$4</c:f>
              <c:strCache>
                <c:ptCount val="1"/>
                <c:pt idx="0">
                  <c:v>Planned %</c:v>
                </c:pt>
              </c:strCache>
            </c:strRef>
          </c:tx>
          <c:spPr>
            <a:solidFill>
              <a:srgbClr val="7B5EA7"/>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Milestones!$B$5:$B$12</c:f>
              <c:strCache>
                <c:ptCount val="8"/>
                <c:pt idx="0">
                  <c:v>Site Prep &amp; Excavation</c:v>
                </c:pt>
                <c:pt idx="1">
                  <c:v>Foundation &amp; Piling</c:v>
                </c:pt>
                <c:pt idx="2">
                  <c:v>Structural Frame</c:v>
                </c:pt>
                <c:pt idx="3">
                  <c:v>Masonry &amp; Blockwork</c:v>
                </c:pt>
                <c:pt idx="4">
                  <c:v>MEP (Elec/Plumb)</c:v>
                </c:pt>
                <c:pt idx="5">
                  <c:v>Plastering &amp; Flooring</c:v>
                </c:pt>
                <c:pt idx="6">
                  <c:v>Finishing &amp; Interiors</c:v>
                </c:pt>
                <c:pt idx="7">
                  <c:v>External &amp; Handover</c:v>
                </c:pt>
              </c:strCache>
            </c:strRef>
          </c:cat>
          <c:val>
            <c:numRef>
              <c:f>Milestones!$C$5:$C$12</c:f>
              <c:numCache>
                <c:formatCode>0.0%</c:formatCode>
                <c:ptCount val="8"/>
                <c:pt idx="0">
                  <c:v>1</c:v>
                </c:pt>
                <c:pt idx="1">
                  <c:v>1</c:v>
                </c:pt>
                <c:pt idx="2">
                  <c:v>0.95</c:v>
                </c:pt>
                <c:pt idx="3">
                  <c:v>0.85</c:v>
                </c:pt>
                <c:pt idx="4">
                  <c:v>0.7</c:v>
                </c:pt>
                <c:pt idx="5">
                  <c:v>0.55000000000000004</c:v>
                </c:pt>
                <c:pt idx="6">
                  <c:v>0.3</c:v>
                </c:pt>
                <c:pt idx="7">
                  <c:v>0.1</c:v>
                </c:pt>
              </c:numCache>
            </c:numRef>
          </c:val>
          <c:extLst>
            <c:ext xmlns:c16="http://schemas.microsoft.com/office/drawing/2014/chart" uri="{C3380CC4-5D6E-409C-BE32-E72D297353CC}">
              <c16:uniqueId val="{00000000-45A2-4B5A-BE02-D6C7C8D4601E}"/>
            </c:ext>
          </c:extLst>
        </c:ser>
        <c:ser>
          <c:idx val="1"/>
          <c:order val="1"/>
          <c:tx>
            <c:strRef>
              <c:f>Milestones!$D$4</c:f>
              <c:strCache>
                <c:ptCount val="1"/>
                <c:pt idx="0">
                  <c:v>Actual %</c:v>
                </c:pt>
              </c:strCache>
            </c:strRef>
          </c:tx>
          <c:spPr>
            <a:solidFill>
              <a:srgbClr val="4ECDC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Milestones!$B$5:$B$12</c:f>
              <c:strCache>
                <c:ptCount val="8"/>
                <c:pt idx="0">
                  <c:v>Site Prep &amp; Excavation</c:v>
                </c:pt>
                <c:pt idx="1">
                  <c:v>Foundation &amp; Piling</c:v>
                </c:pt>
                <c:pt idx="2">
                  <c:v>Structural Frame</c:v>
                </c:pt>
                <c:pt idx="3">
                  <c:v>Masonry &amp; Blockwork</c:v>
                </c:pt>
                <c:pt idx="4">
                  <c:v>MEP (Elec/Plumb)</c:v>
                </c:pt>
                <c:pt idx="5">
                  <c:v>Plastering &amp; Flooring</c:v>
                </c:pt>
                <c:pt idx="6">
                  <c:v>Finishing &amp; Interiors</c:v>
                </c:pt>
                <c:pt idx="7">
                  <c:v>External &amp; Handover</c:v>
                </c:pt>
              </c:strCache>
            </c:strRef>
          </c:cat>
          <c:val>
            <c:numRef>
              <c:f>Milestones!$D$5:$D$12</c:f>
              <c:numCache>
                <c:formatCode>0.0%</c:formatCode>
                <c:ptCount val="8"/>
                <c:pt idx="0">
                  <c:v>1</c:v>
                </c:pt>
                <c:pt idx="1">
                  <c:v>1</c:v>
                </c:pt>
                <c:pt idx="2">
                  <c:v>0.92</c:v>
                </c:pt>
                <c:pt idx="3">
                  <c:v>0.8</c:v>
                </c:pt>
                <c:pt idx="4">
                  <c:v>0.62</c:v>
                </c:pt>
                <c:pt idx="5">
                  <c:v>0.48</c:v>
                </c:pt>
                <c:pt idx="6">
                  <c:v>0.22</c:v>
                </c:pt>
                <c:pt idx="7">
                  <c:v>0.05</c:v>
                </c:pt>
              </c:numCache>
            </c:numRef>
          </c:val>
          <c:extLst>
            <c:ext xmlns:c16="http://schemas.microsoft.com/office/drawing/2014/chart" uri="{C3380CC4-5D6E-409C-BE32-E72D297353CC}">
              <c16:uniqueId val="{00000001-45A2-4B5A-BE02-D6C7C8D4601E}"/>
            </c:ext>
          </c:extLst>
        </c:ser>
        <c:dLbls>
          <c:showLegendKey val="0"/>
          <c:showVal val="0"/>
          <c:showCatName val="0"/>
          <c:showSerName val="0"/>
          <c:showPercent val="0"/>
          <c:showBubbleSize val="0"/>
        </c:dLbls>
        <c:gapWidth val="150"/>
        <c:axId val="31501841"/>
        <c:axId val="75064281"/>
      </c:barChart>
      <c:catAx>
        <c:axId val="3150184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064281"/>
        <c:crosses val="autoZero"/>
        <c:auto val="1"/>
        <c:lblAlgn val="ctr"/>
        <c:lblOffset val="100"/>
        <c:noMultiLvlLbl val="0"/>
      </c:catAx>
      <c:valAx>
        <c:axId val="75064281"/>
        <c:scaling>
          <c:orientation val="minMax"/>
        </c:scaling>
        <c:delete val="0"/>
        <c:axPos val="b"/>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5018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70560</xdr:rowOff>
    </xdr:from>
    <xdr:to>
      <xdr:col>4</xdr:col>
      <xdr:colOff>807120</xdr:colOff>
      <xdr:row>35</xdr:row>
      <xdr:rowOff>103320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21</xdr:row>
      <xdr:rowOff>70560</xdr:rowOff>
    </xdr:from>
    <xdr:to>
      <xdr:col>10</xdr:col>
      <xdr:colOff>132480</xdr:colOff>
      <xdr:row>34</xdr:row>
      <xdr:rowOff>113760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70200</xdr:rowOff>
    </xdr:from>
    <xdr:to>
      <xdr:col>6</xdr:col>
      <xdr:colOff>308520</xdr:colOff>
      <xdr:row>50</xdr:row>
      <xdr:rowOff>113400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37</xdr:row>
      <xdr:rowOff>70200</xdr:rowOff>
    </xdr:from>
    <xdr:to>
      <xdr:col>10</xdr:col>
      <xdr:colOff>132480</xdr:colOff>
      <xdr:row>50</xdr:row>
      <xdr:rowOff>113400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0"/>
  <sheetViews>
    <sheetView showGridLines="0" tabSelected="1" zoomScaleNormal="100" workbookViewId="0">
      <selection activeCell="E1" sqref="E1:M1"/>
    </sheetView>
  </sheetViews>
  <sheetFormatPr defaultColWidth="8.6640625" defaultRowHeight="14.4" x14ac:dyDescent="0.3"/>
  <cols>
    <col min="1" max="1" width="3" customWidth="1"/>
    <col min="2" max="2" width="100" customWidth="1"/>
  </cols>
  <sheetData>
    <row r="1" spans="2:13" ht="43.8" customHeight="1" x14ac:dyDescent="0.3">
      <c r="E1" s="74" t="s">
        <v>195</v>
      </c>
      <c r="F1" s="74"/>
      <c r="G1" s="74"/>
      <c r="H1" s="74"/>
      <c r="I1" s="74"/>
      <c r="J1" s="74"/>
      <c r="K1" s="74"/>
      <c r="L1" s="74"/>
      <c r="M1" s="74"/>
    </row>
    <row r="2" spans="2:13" ht="23.4" x14ac:dyDescent="0.3">
      <c r="B2" s="15" t="s">
        <v>0</v>
      </c>
    </row>
    <row r="3" spans="2:13" x14ac:dyDescent="0.3">
      <c r="B3" s="16" t="s">
        <v>1</v>
      </c>
    </row>
    <row r="5" spans="2:13" ht="42" customHeight="1" x14ac:dyDescent="0.3">
      <c r="B5" s="17" t="s">
        <v>2</v>
      </c>
    </row>
    <row r="7" spans="2:13" x14ac:dyDescent="0.3">
      <c r="B7" s="18" t="s">
        <v>3</v>
      </c>
    </row>
    <row r="8" spans="2:13" ht="30" customHeight="1" x14ac:dyDescent="0.3">
      <c r="B8" s="19" t="s">
        <v>4</v>
      </c>
    </row>
    <row r="9" spans="2:13" ht="30" customHeight="1" x14ac:dyDescent="0.3">
      <c r="B9" s="19" t="s">
        <v>5</v>
      </c>
    </row>
    <row r="10" spans="2:13" ht="30" customHeight="1" x14ac:dyDescent="0.3">
      <c r="B10" s="19" t="s">
        <v>6</v>
      </c>
    </row>
    <row r="11" spans="2:13" ht="30" customHeight="1" x14ac:dyDescent="0.3">
      <c r="B11" s="19" t="s">
        <v>7</v>
      </c>
    </row>
    <row r="12" spans="2:13" ht="30" customHeight="1" x14ac:dyDescent="0.3">
      <c r="B12" s="19" t="s">
        <v>8</v>
      </c>
    </row>
    <row r="13" spans="2:13" ht="30" customHeight="1" x14ac:dyDescent="0.3">
      <c r="B13" s="19" t="s">
        <v>9</v>
      </c>
    </row>
    <row r="14" spans="2:13" ht="30" customHeight="1" x14ac:dyDescent="0.3">
      <c r="B14" s="19" t="s">
        <v>10</v>
      </c>
    </row>
    <row r="15" spans="2:13" ht="30" customHeight="1" x14ac:dyDescent="0.3">
      <c r="B15" s="19" t="s">
        <v>11</v>
      </c>
    </row>
    <row r="17" spans="2:2" x14ac:dyDescent="0.3">
      <c r="B17" s="18" t="s">
        <v>12</v>
      </c>
    </row>
    <row r="18" spans="2:2" ht="27.6" x14ac:dyDescent="0.3">
      <c r="B18" s="19" t="s">
        <v>13</v>
      </c>
    </row>
    <row r="20" spans="2:2" x14ac:dyDescent="0.3">
      <c r="B20" s="20" t="s">
        <v>14</v>
      </c>
    </row>
  </sheetData>
  <mergeCells count="1">
    <mergeCell ref="E1:M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M20"/>
  <sheetViews>
    <sheetView showGridLines="0" zoomScaleNormal="100" workbookViewId="0"/>
  </sheetViews>
  <sheetFormatPr defaultColWidth="8.6640625" defaultRowHeight="14.4" x14ac:dyDescent="0.3"/>
  <cols>
    <col min="1" max="1" width="2" customWidth="1"/>
    <col min="2" max="5" width="11.44140625" customWidth="1"/>
    <col min="6" max="6" width="16" customWidth="1"/>
    <col min="7" max="7" width="14" customWidth="1"/>
    <col min="8" max="13" width="11.44140625" customWidth="1"/>
  </cols>
  <sheetData>
    <row r="2" spans="2:13" ht="25.8" x14ac:dyDescent="0.3">
      <c r="B2" s="21" t="s">
        <v>0</v>
      </c>
    </row>
    <row r="3" spans="2:13" x14ac:dyDescent="0.3">
      <c r="B3" s="22" t="s">
        <v>15</v>
      </c>
    </row>
    <row r="5" spans="2:13" ht="15" customHeight="1" x14ac:dyDescent="0.3">
      <c r="B5" s="14" t="s">
        <v>16</v>
      </c>
      <c r="C5" s="14"/>
      <c r="D5" s="14"/>
      <c r="E5" s="13" t="s">
        <v>17</v>
      </c>
      <c r="F5" s="13"/>
      <c r="G5" s="13"/>
      <c r="H5" s="12" t="s">
        <v>18</v>
      </c>
      <c r="I5" s="12"/>
      <c r="J5" s="12"/>
      <c r="K5" s="11" t="s">
        <v>19</v>
      </c>
      <c r="L5" s="11"/>
      <c r="M5" s="11"/>
    </row>
    <row r="6" spans="2:13" x14ac:dyDescent="0.3">
      <c r="B6" s="10">
        <f>Project_Data!C6</f>
        <v>160000000</v>
      </c>
      <c r="C6" s="10"/>
      <c r="D6" s="10"/>
      <c r="E6" s="9">
        <f>Project_Data!D20</f>
        <v>122600000</v>
      </c>
      <c r="F6" s="9"/>
      <c r="G6" s="9"/>
      <c r="H6" s="8">
        <f>Project_Data!D20/Project_Data!C6</f>
        <v>0.76624999999999999</v>
      </c>
      <c r="I6" s="8"/>
      <c r="J6" s="8"/>
      <c r="K6" s="7">
        <f>Project_Data!C7</f>
        <v>0.75</v>
      </c>
      <c r="L6" s="7"/>
      <c r="M6" s="7"/>
    </row>
    <row r="7" spans="2:13" x14ac:dyDescent="0.3">
      <c r="B7" s="10"/>
      <c r="C7" s="10"/>
      <c r="D7" s="10"/>
      <c r="E7" s="9"/>
      <c r="F7" s="9"/>
      <c r="G7" s="9"/>
      <c r="H7" s="8"/>
      <c r="I7" s="8"/>
      <c r="J7" s="8"/>
      <c r="K7" s="7"/>
      <c r="L7" s="7"/>
      <c r="M7" s="7"/>
    </row>
    <row r="9" spans="2:13" ht="15" customHeight="1" x14ac:dyDescent="0.3">
      <c r="B9" s="6" t="s">
        <v>20</v>
      </c>
      <c r="C9" s="6"/>
      <c r="D9" s="6"/>
      <c r="E9" s="5" t="s">
        <v>21</v>
      </c>
      <c r="F9" s="5"/>
      <c r="G9" s="5"/>
      <c r="H9" s="14" t="s">
        <v>22</v>
      </c>
      <c r="I9" s="14"/>
      <c r="J9" s="14"/>
      <c r="K9" s="12" t="s">
        <v>23</v>
      </c>
      <c r="L9" s="12"/>
      <c r="M9" s="12"/>
    </row>
    <row r="10" spans="2:13" x14ac:dyDescent="0.3">
      <c r="B10" s="4">
        <f>Project_Data!C29</f>
        <v>-2600000</v>
      </c>
      <c r="C10" s="4"/>
      <c r="D10" s="4"/>
      <c r="E10" s="3">
        <f>Project_Data!C30</f>
        <v>0.97879282218597063</v>
      </c>
      <c r="F10" s="3"/>
      <c r="G10" s="3"/>
      <c r="H10" s="10">
        <f>Project_Data!C31</f>
        <v>163466666.66666666</v>
      </c>
      <c r="I10" s="10"/>
      <c r="J10" s="10"/>
      <c r="K10" s="2">
        <f>RA_Bills!G15</f>
        <v>114100000</v>
      </c>
      <c r="L10" s="2"/>
      <c r="M10" s="2"/>
    </row>
    <row r="11" spans="2:13" x14ac:dyDescent="0.3">
      <c r="B11" s="4"/>
      <c r="C11" s="4"/>
      <c r="D11" s="4"/>
      <c r="E11" s="3"/>
      <c r="F11" s="3"/>
      <c r="G11" s="3"/>
      <c r="H11" s="10"/>
      <c r="I11" s="10"/>
      <c r="J11" s="10"/>
      <c r="K11" s="2"/>
      <c r="L11" s="2"/>
      <c r="M11" s="2"/>
    </row>
    <row r="14" spans="2:13" ht="15.6" x14ac:dyDescent="0.3">
      <c r="B14" s="23" t="s">
        <v>24</v>
      </c>
      <c r="F14" s="23" t="s">
        <v>25</v>
      </c>
      <c r="I14" s="23" t="s">
        <v>26</v>
      </c>
    </row>
    <row r="15" spans="2:13" x14ac:dyDescent="0.3">
      <c r="B15" s="24" t="s">
        <v>27</v>
      </c>
      <c r="C15" s="24" t="s">
        <v>28</v>
      </c>
    </row>
    <row r="16" spans="2:13" ht="15" customHeight="1" x14ac:dyDescent="0.3">
      <c r="B16" s="25" t="s">
        <v>29</v>
      </c>
      <c r="C16" s="26">
        <f>Project_Data!D15</f>
        <v>50200000</v>
      </c>
      <c r="F16" s="27" t="s">
        <v>30</v>
      </c>
      <c r="G16" s="28">
        <f>RA_Bills!D15</f>
        <v>131500000</v>
      </c>
      <c r="I16" s="1" t="s">
        <v>31</v>
      </c>
      <c r="J16" s="1"/>
      <c r="K16" s="29">
        <f>Project_Data!C25</f>
        <v>160000000</v>
      </c>
    </row>
    <row r="17" spans="2:11" ht="15" customHeight="1" x14ac:dyDescent="0.3">
      <c r="B17" s="25" t="s">
        <v>32</v>
      </c>
      <c r="C17" s="26">
        <f>Project_Data!D16</f>
        <v>30800000</v>
      </c>
      <c r="F17" s="30" t="s">
        <v>33</v>
      </c>
      <c r="G17" s="31">
        <f>RA_Bills!E15</f>
        <v>128600000</v>
      </c>
      <c r="I17" s="73" t="s">
        <v>34</v>
      </c>
      <c r="J17" s="73"/>
      <c r="K17" s="31">
        <f>Project_Data!C27</f>
        <v>120000000</v>
      </c>
    </row>
    <row r="18" spans="2:11" ht="15" customHeight="1" x14ac:dyDescent="0.3">
      <c r="B18" s="25" t="s">
        <v>35</v>
      </c>
      <c r="C18" s="26">
        <f>Project_Data!D17</f>
        <v>23100000</v>
      </c>
      <c r="F18" s="27" t="s">
        <v>36</v>
      </c>
      <c r="G18" s="28">
        <f>RA_Bills!F15</f>
        <v>6430000</v>
      </c>
      <c r="I18" s="1" t="s">
        <v>37</v>
      </c>
      <c r="J18" s="1"/>
      <c r="K18" s="29">
        <f>Project_Data!C28</f>
        <v>122600000</v>
      </c>
    </row>
    <row r="19" spans="2:11" ht="15" customHeight="1" x14ac:dyDescent="0.3">
      <c r="B19" s="25" t="s">
        <v>38</v>
      </c>
      <c r="C19" s="26">
        <f>Project_Data!D18</f>
        <v>10600000</v>
      </c>
      <c r="F19" s="30" t="s">
        <v>39</v>
      </c>
      <c r="G19" s="31">
        <f>RA_Bills!G15</f>
        <v>114100000</v>
      </c>
      <c r="I19" s="73" t="s">
        <v>21</v>
      </c>
      <c r="J19" s="73"/>
      <c r="K19" s="32">
        <f>Project_Data!C30</f>
        <v>0.97879282218597063</v>
      </c>
    </row>
    <row r="20" spans="2:11" ht="15" customHeight="1" x14ac:dyDescent="0.3">
      <c r="B20" s="25" t="s">
        <v>40</v>
      </c>
      <c r="C20" s="26">
        <f>Project_Data!D19</f>
        <v>7900000</v>
      </c>
      <c r="F20" s="27" t="s">
        <v>41</v>
      </c>
      <c r="G20" s="28">
        <f>RA_Bills!H15</f>
        <v>8070000</v>
      </c>
      <c r="I20" s="1" t="s">
        <v>42</v>
      </c>
      <c r="J20" s="1"/>
      <c r="K20" s="29">
        <f>Project_Data!C32</f>
        <v>-3466666.6666666567</v>
      </c>
    </row>
  </sheetData>
  <mergeCells count="21">
    <mergeCell ref="I16:J16"/>
    <mergeCell ref="I17:J17"/>
    <mergeCell ref="I18:J18"/>
    <mergeCell ref="I19:J19"/>
    <mergeCell ref="I20:J20"/>
    <mergeCell ref="B9:D9"/>
    <mergeCell ref="E9:G9"/>
    <mergeCell ref="H9:J9"/>
    <mergeCell ref="K9:M9"/>
    <mergeCell ref="B10:D11"/>
    <mergeCell ref="E10:G11"/>
    <mergeCell ref="H10:J11"/>
    <mergeCell ref="K10:M11"/>
    <mergeCell ref="B5:D5"/>
    <mergeCell ref="E5:G5"/>
    <mergeCell ref="H5:J5"/>
    <mergeCell ref="K5:M5"/>
    <mergeCell ref="B6:D7"/>
    <mergeCell ref="E6:G7"/>
    <mergeCell ref="H6:J7"/>
    <mergeCell ref="K6:M7"/>
  </mergeCells>
  <pageMargins left="0.75" right="0.75" top="1" bottom="1" header="0.511811023622047" footer="0.511811023622047"/>
  <pageSetup fitToHeight="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32"/>
  <sheetViews>
    <sheetView showGridLines="0" zoomScaleNormal="100" workbookViewId="0"/>
  </sheetViews>
  <sheetFormatPr defaultColWidth="8.6640625" defaultRowHeight="14.4" x14ac:dyDescent="0.3"/>
  <cols>
    <col min="2" max="2" width="34" customWidth="1"/>
    <col min="3" max="4" width="20" customWidth="1"/>
    <col min="5" max="5" width="18" customWidth="1"/>
    <col min="6" max="6" width="20" customWidth="1"/>
  </cols>
  <sheetData>
    <row r="2" spans="2:6" ht="18" x14ac:dyDescent="0.3">
      <c r="B2" s="33" t="s">
        <v>43</v>
      </c>
    </row>
    <row r="4" spans="2:6" x14ac:dyDescent="0.3">
      <c r="B4" s="34" t="s">
        <v>44</v>
      </c>
      <c r="C4" s="35" t="s">
        <v>45</v>
      </c>
    </row>
    <row r="5" spans="2:6" x14ac:dyDescent="0.3">
      <c r="B5" s="34" t="s">
        <v>46</v>
      </c>
      <c r="C5" s="35" t="s">
        <v>47</v>
      </c>
    </row>
    <row r="6" spans="2:6" x14ac:dyDescent="0.3">
      <c r="B6" s="34" t="s">
        <v>48</v>
      </c>
      <c r="C6" s="36">
        <v>160000000</v>
      </c>
    </row>
    <row r="7" spans="2:6" x14ac:dyDescent="0.3">
      <c r="B7" s="34" t="s">
        <v>49</v>
      </c>
      <c r="C7" s="37">
        <v>0.75</v>
      </c>
    </row>
    <row r="8" spans="2:6" x14ac:dyDescent="0.3">
      <c r="B8" s="34" t="s">
        <v>50</v>
      </c>
      <c r="C8" s="37">
        <v>0.8</v>
      </c>
    </row>
    <row r="9" spans="2:6" x14ac:dyDescent="0.3">
      <c r="B9" s="34" t="s">
        <v>51</v>
      </c>
      <c r="C9" s="35" t="s">
        <v>52</v>
      </c>
    </row>
    <row r="10" spans="2:6" x14ac:dyDescent="0.3">
      <c r="B10" s="34" t="s">
        <v>53</v>
      </c>
      <c r="C10" s="35" t="s">
        <v>54</v>
      </c>
    </row>
    <row r="13" spans="2:6" ht="15.6" x14ac:dyDescent="0.3">
      <c r="B13" s="23" t="s">
        <v>55</v>
      </c>
    </row>
    <row r="14" spans="2:6" ht="30" customHeight="1" x14ac:dyDescent="0.3">
      <c r="B14" s="38" t="s">
        <v>27</v>
      </c>
      <c r="C14" s="38" t="s">
        <v>56</v>
      </c>
      <c r="D14" s="38" t="s">
        <v>57</v>
      </c>
      <c r="E14" s="38" t="s">
        <v>58</v>
      </c>
      <c r="F14" s="38" t="s">
        <v>59</v>
      </c>
    </row>
    <row r="15" spans="2:6" x14ac:dyDescent="0.3">
      <c r="B15" s="39" t="s">
        <v>29</v>
      </c>
      <c r="C15" s="36">
        <v>64000000</v>
      </c>
      <c r="D15" s="36">
        <v>50200000</v>
      </c>
      <c r="E15" s="40">
        <f t="shared" ref="E15:E20" si="0">IFERROR(D15/C15,0)</f>
        <v>0.78437500000000004</v>
      </c>
      <c r="F15" s="41">
        <f>C15-D15</f>
        <v>13800000</v>
      </c>
    </row>
    <row r="16" spans="2:6" x14ac:dyDescent="0.3">
      <c r="B16" s="39" t="s">
        <v>32</v>
      </c>
      <c r="C16" s="36">
        <v>40000000</v>
      </c>
      <c r="D16" s="36">
        <v>30800000</v>
      </c>
      <c r="E16" s="40">
        <f t="shared" si="0"/>
        <v>0.77</v>
      </c>
      <c r="F16" s="41">
        <f>C16-D16</f>
        <v>9200000</v>
      </c>
    </row>
    <row r="17" spans="2:6" x14ac:dyDescent="0.3">
      <c r="B17" s="39" t="s">
        <v>35</v>
      </c>
      <c r="C17" s="36">
        <v>32000000</v>
      </c>
      <c r="D17" s="36">
        <v>23100000</v>
      </c>
      <c r="E17" s="40">
        <f t="shared" si="0"/>
        <v>0.72187500000000004</v>
      </c>
      <c r="F17" s="41">
        <f>C17-D17</f>
        <v>8900000</v>
      </c>
    </row>
    <row r="18" spans="2:6" x14ac:dyDescent="0.3">
      <c r="B18" s="39" t="s">
        <v>38</v>
      </c>
      <c r="C18" s="36">
        <v>14000000</v>
      </c>
      <c r="D18" s="36">
        <v>10600000</v>
      </c>
      <c r="E18" s="40">
        <f t="shared" si="0"/>
        <v>0.75714285714285712</v>
      </c>
      <c r="F18" s="41">
        <f>C18-D18</f>
        <v>3400000</v>
      </c>
    </row>
    <row r="19" spans="2:6" x14ac:dyDescent="0.3">
      <c r="B19" s="39" t="s">
        <v>40</v>
      </c>
      <c r="C19" s="36">
        <v>10000000</v>
      </c>
      <c r="D19" s="36">
        <v>7900000</v>
      </c>
      <c r="E19" s="40">
        <f t="shared" si="0"/>
        <v>0.79</v>
      </c>
      <c r="F19" s="41">
        <f>C19-D19</f>
        <v>2100000</v>
      </c>
    </row>
    <row r="20" spans="2:6" x14ac:dyDescent="0.3">
      <c r="B20" s="42" t="s">
        <v>60</v>
      </c>
      <c r="C20" s="43">
        <f>SUM(C15:C19)</f>
        <v>160000000</v>
      </c>
      <c r="D20" s="43">
        <f>SUM(D15:D19)</f>
        <v>122600000</v>
      </c>
      <c r="E20" s="44">
        <f t="shared" si="0"/>
        <v>0.76624999999999999</v>
      </c>
      <c r="F20" s="43">
        <f>SUM(F15:F19)</f>
        <v>37400000</v>
      </c>
    </row>
    <row r="23" spans="2:6" ht="15.6" x14ac:dyDescent="0.3">
      <c r="B23" s="23" t="s">
        <v>61</v>
      </c>
    </row>
    <row r="24" spans="2:6" x14ac:dyDescent="0.3">
      <c r="B24" s="45" t="s">
        <v>62</v>
      </c>
    </row>
    <row r="25" spans="2:6" x14ac:dyDescent="0.3">
      <c r="B25" s="34" t="s">
        <v>63</v>
      </c>
      <c r="C25" s="41">
        <f>C6</f>
        <v>160000000</v>
      </c>
      <c r="D25" s="46" t="s">
        <v>64</v>
      </c>
    </row>
    <row r="26" spans="2:6" x14ac:dyDescent="0.3">
      <c r="B26" s="34" t="s">
        <v>65</v>
      </c>
      <c r="C26" s="40">
        <f>C7</f>
        <v>0.75</v>
      </c>
      <c r="D26" s="46" t="s">
        <v>66</v>
      </c>
    </row>
    <row r="27" spans="2:6" x14ac:dyDescent="0.3">
      <c r="B27" s="34" t="s">
        <v>34</v>
      </c>
      <c r="C27" s="41">
        <f>C6*C7</f>
        <v>120000000</v>
      </c>
      <c r="D27" s="46" t="s">
        <v>67</v>
      </c>
    </row>
    <row r="28" spans="2:6" x14ac:dyDescent="0.3">
      <c r="B28" s="34" t="s">
        <v>37</v>
      </c>
      <c r="C28" s="41">
        <f>D20</f>
        <v>122600000</v>
      </c>
      <c r="D28" s="46" t="s">
        <v>68</v>
      </c>
    </row>
    <row r="29" spans="2:6" x14ac:dyDescent="0.3">
      <c r="B29" s="34" t="s">
        <v>69</v>
      </c>
      <c r="C29" s="41">
        <f>C27-C28</f>
        <v>-2600000</v>
      </c>
      <c r="D29" s="46" t="s">
        <v>70</v>
      </c>
    </row>
    <row r="30" spans="2:6" x14ac:dyDescent="0.3">
      <c r="B30" s="34" t="s">
        <v>71</v>
      </c>
      <c r="C30" s="47">
        <f>IFERROR(C27/C28,0)</f>
        <v>0.97879282218597063</v>
      </c>
      <c r="D30" s="46" t="s">
        <v>72</v>
      </c>
    </row>
    <row r="31" spans="2:6" x14ac:dyDescent="0.3">
      <c r="B31" s="34" t="s">
        <v>73</v>
      </c>
      <c r="C31" s="41">
        <f>IFERROR(C25/C30,0)</f>
        <v>163466666.66666666</v>
      </c>
      <c r="D31" s="46" t="s">
        <v>74</v>
      </c>
    </row>
    <row r="32" spans="2:6" x14ac:dyDescent="0.3">
      <c r="B32" s="34" t="s">
        <v>75</v>
      </c>
      <c r="C32" s="41">
        <f>C25-C31</f>
        <v>-3466666.6666666567</v>
      </c>
      <c r="D32" s="46" t="s">
        <v>76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5"/>
  <sheetViews>
    <sheetView showGridLines="0" zoomScaleNormal="100" workbookViewId="0"/>
  </sheetViews>
  <sheetFormatPr defaultColWidth="8.6640625" defaultRowHeight="14.4" x14ac:dyDescent="0.3"/>
  <cols>
    <col min="2" max="2" width="11" customWidth="1"/>
    <col min="3" max="3" width="10" customWidth="1"/>
    <col min="4" max="5" width="19" customWidth="1"/>
    <col min="6" max="6" width="16" customWidth="1"/>
    <col min="7" max="7" width="19" customWidth="1"/>
    <col min="8" max="8" width="20" customWidth="1"/>
    <col min="9" max="9" width="18" customWidth="1"/>
  </cols>
  <sheetData>
    <row r="2" spans="2:9" ht="18" x14ac:dyDescent="0.3">
      <c r="B2" s="33" t="s">
        <v>77</v>
      </c>
    </row>
    <row r="3" spans="2:9" x14ac:dyDescent="0.3">
      <c r="B3" s="20" t="s">
        <v>78</v>
      </c>
    </row>
    <row r="5" spans="2:9" ht="30" customHeight="1" x14ac:dyDescent="0.3">
      <c r="B5" s="38" t="s">
        <v>79</v>
      </c>
      <c r="C5" s="38" t="s">
        <v>80</v>
      </c>
      <c r="D5" s="38" t="s">
        <v>81</v>
      </c>
      <c r="E5" s="38" t="s">
        <v>82</v>
      </c>
      <c r="F5" s="38" t="s">
        <v>83</v>
      </c>
      <c r="G5" s="38" t="s">
        <v>84</v>
      </c>
      <c r="H5" s="38" t="s">
        <v>85</v>
      </c>
      <c r="I5" s="38" t="s">
        <v>86</v>
      </c>
    </row>
    <row r="6" spans="2:9" x14ac:dyDescent="0.3">
      <c r="B6" s="48" t="s">
        <v>87</v>
      </c>
      <c r="C6" s="49" t="s">
        <v>88</v>
      </c>
      <c r="D6" s="50">
        <v>12500000</v>
      </c>
      <c r="E6" s="50">
        <v>12200000</v>
      </c>
      <c r="F6" s="51">
        <f t="shared" ref="F6:F14" si="0">E6*0.05</f>
        <v>610000</v>
      </c>
      <c r="G6" s="50">
        <v>11200000</v>
      </c>
      <c r="H6" s="51">
        <f t="shared" ref="H6:H14" si="1">MAX(E6-F6-G6,0)</f>
        <v>390000</v>
      </c>
      <c r="I6" s="51">
        <f t="shared" ref="I6:I14" si="2">MAX(G6-(E6-F6),0)</f>
        <v>0</v>
      </c>
    </row>
    <row r="7" spans="2:9" x14ac:dyDescent="0.3">
      <c r="B7" s="48" t="s">
        <v>89</v>
      </c>
      <c r="C7" s="49" t="s">
        <v>90</v>
      </c>
      <c r="D7" s="50">
        <v>14800000</v>
      </c>
      <c r="E7" s="50">
        <v>14500000</v>
      </c>
      <c r="F7" s="51">
        <f t="shared" si="0"/>
        <v>725000</v>
      </c>
      <c r="G7" s="50">
        <v>13400000</v>
      </c>
      <c r="H7" s="51">
        <f t="shared" si="1"/>
        <v>375000</v>
      </c>
      <c r="I7" s="51">
        <f t="shared" si="2"/>
        <v>0</v>
      </c>
    </row>
    <row r="8" spans="2:9" x14ac:dyDescent="0.3">
      <c r="B8" s="48" t="s">
        <v>91</v>
      </c>
      <c r="C8" s="49" t="s">
        <v>92</v>
      </c>
      <c r="D8" s="50">
        <v>16200000</v>
      </c>
      <c r="E8" s="50">
        <v>15900000</v>
      </c>
      <c r="F8" s="51">
        <f t="shared" si="0"/>
        <v>795000</v>
      </c>
      <c r="G8" s="50">
        <v>14600000</v>
      </c>
      <c r="H8" s="51">
        <f t="shared" si="1"/>
        <v>505000</v>
      </c>
      <c r="I8" s="51">
        <f t="shared" si="2"/>
        <v>0</v>
      </c>
    </row>
    <row r="9" spans="2:9" x14ac:dyDescent="0.3">
      <c r="B9" s="48" t="s">
        <v>93</v>
      </c>
      <c r="C9" s="49" t="s">
        <v>94</v>
      </c>
      <c r="D9" s="50">
        <v>15100000</v>
      </c>
      <c r="E9" s="50">
        <v>14800000</v>
      </c>
      <c r="F9" s="51">
        <f t="shared" si="0"/>
        <v>740000</v>
      </c>
      <c r="G9" s="50">
        <v>13600000</v>
      </c>
      <c r="H9" s="51">
        <f t="shared" si="1"/>
        <v>460000</v>
      </c>
      <c r="I9" s="51">
        <f t="shared" si="2"/>
        <v>0</v>
      </c>
    </row>
    <row r="10" spans="2:9" x14ac:dyDescent="0.3">
      <c r="B10" s="48" t="s">
        <v>95</v>
      </c>
      <c r="C10" s="49" t="s">
        <v>96</v>
      </c>
      <c r="D10" s="50">
        <v>17400000</v>
      </c>
      <c r="E10" s="50">
        <v>17000000</v>
      </c>
      <c r="F10" s="51">
        <f t="shared" si="0"/>
        <v>850000</v>
      </c>
      <c r="G10" s="50">
        <v>15700000</v>
      </c>
      <c r="H10" s="51">
        <f t="shared" si="1"/>
        <v>450000</v>
      </c>
      <c r="I10" s="51">
        <f t="shared" si="2"/>
        <v>0</v>
      </c>
    </row>
    <row r="11" spans="2:9" x14ac:dyDescent="0.3">
      <c r="B11" s="48" t="s">
        <v>97</v>
      </c>
      <c r="C11" s="49" t="s">
        <v>98</v>
      </c>
      <c r="D11" s="50">
        <v>13900000</v>
      </c>
      <c r="E11" s="50">
        <v>13600000</v>
      </c>
      <c r="F11" s="51">
        <f t="shared" si="0"/>
        <v>680000</v>
      </c>
      <c r="G11" s="50">
        <v>12300000</v>
      </c>
      <c r="H11" s="51">
        <f t="shared" si="1"/>
        <v>620000</v>
      </c>
      <c r="I11" s="51">
        <f t="shared" si="2"/>
        <v>0</v>
      </c>
    </row>
    <row r="12" spans="2:9" x14ac:dyDescent="0.3">
      <c r="B12" s="48" t="s">
        <v>99</v>
      </c>
      <c r="C12" s="49" t="s">
        <v>100</v>
      </c>
      <c r="D12" s="50">
        <v>15600000</v>
      </c>
      <c r="E12" s="50">
        <v>15200000</v>
      </c>
      <c r="F12" s="51">
        <f t="shared" si="0"/>
        <v>760000</v>
      </c>
      <c r="G12" s="50">
        <v>13900000</v>
      </c>
      <c r="H12" s="51">
        <f t="shared" si="1"/>
        <v>540000</v>
      </c>
      <c r="I12" s="51">
        <f t="shared" si="2"/>
        <v>0</v>
      </c>
    </row>
    <row r="13" spans="2:9" x14ac:dyDescent="0.3">
      <c r="B13" s="48" t="s">
        <v>101</v>
      </c>
      <c r="C13" s="49" t="s">
        <v>102</v>
      </c>
      <c r="D13" s="50">
        <v>14200000</v>
      </c>
      <c r="E13" s="50">
        <v>13900000</v>
      </c>
      <c r="F13" s="51">
        <f t="shared" si="0"/>
        <v>695000</v>
      </c>
      <c r="G13" s="50">
        <v>11800000</v>
      </c>
      <c r="H13" s="51">
        <f t="shared" si="1"/>
        <v>1405000</v>
      </c>
      <c r="I13" s="51">
        <f t="shared" si="2"/>
        <v>0</v>
      </c>
    </row>
    <row r="14" spans="2:9" x14ac:dyDescent="0.3">
      <c r="B14" s="48" t="s">
        <v>103</v>
      </c>
      <c r="C14" s="49" t="s">
        <v>104</v>
      </c>
      <c r="D14" s="50">
        <v>11800000</v>
      </c>
      <c r="E14" s="50">
        <v>11500000</v>
      </c>
      <c r="F14" s="51">
        <f t="shared" si="0"/>
        <v>575000</v>
      </c>
      <c r="G14" s="50">
        <v>7600000</v>
      </c>
      <c r="H14" s="51">
        <f t="shared" si="1"/>
        <v>3325000</v>
      </c>
      <c r="I14" s="51">
        <f t="shared" si="2"/>
        <v>0</v>
      </c>
    </row>
    <row r="15" spans="2:9" x14ac:dyDescent="0.3">
      <c r="B15" s="52" t="s">
        <v>60</v>
      </c>
      <c r="C15" s="53"/>
      <c r="D15" s="54">
        <f t="shared" ref="D15:I15" si="3">SUM(D6:D14)</f>
        <v>131500000</v>
      </c>
      <c r="E15" s="54">
        <f t="shared" si="3"/>
        <v>128600000</v>
      </c>
      <c r="F15" s="54">
        <f t="shared" si="3"/>
        <v>6430000</v>
      </c>
      <c r="G15" s="54">
        <f t="shared" si="3"/>
        <v>114100000</v>
      </c>
      <c r="H15" s="54">
        <f t="shared" si="3"/>
        <v>8070000</v>
      </c>
      <c r="I15" s="54">
        <f t="shared" si="3"/>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0"/>
  <sheetViews>
    <sheetView showGridLines="0" zoomScaleNormal="100" workbookViewId="0"/>
  </sheetViews>
  <sheetFormatPr defaultColWidth="8.6640625" defaultRowHeight="14.4" x14ac:dyDescent="0.3"/>
  <cols>
    <col min="2" max="3" width="22" customWidth="1"/>
    <col min="4" max="5" width="17" customWidth="1"/>
    <col min="6" max="6" width="16" customWidth="1"/>
    <col min="7" max="7" width="18" customWidth="1"/>
    <col min="8" max="8" width="11" customWidth="1"/>
  </cols>
  <sheetData>
    <row r="2" spans="2:8" ht="18" x14ac:dyDescent="0.3">
      <c r="B2" s="33" t="s">
        <v>105</v>
      </c>
    </row>
    <row r="4" spans="2:8" ht="30" customHeight="1" x14ac:dyDescent="0.3">
      <c r="B4" s="38" t="s">
        <v>35</v>
      </c>
      <c r="C4" s="38" t="s">
        <v>106</v>
      </c>
      <c r="D4" s="38" t="s">
        <v>107</v>
      </c>
      <c r="E4" s="38" t="s">
        <v>108</v>
      </c>
      <c r="F4" s="38" t="s">
        <v>109</v>
      </c>
      <c r="G4" s="38" t="s">
        <v>110</v>
      </c>
      <c r="H4" s="38" t="s">
        <v>111</v>
      </c>
    </row>
    <row r="5" spans="2:8" x14ac:dyDescent="0.3">
      <c r="B5" s="48" t="s">
        <v>112</v>
      </c>
      <c r="C5" s="48" t="s">
        <v>113</v>
      </c>
      <c r="D5" s="50">
        <v>8500000</v>
      </c>
      <c r="E5" s="50">
        <v>8500000</v>
      </c>
      <c r="F5" s="50">
        <v>8100000</v>
      </c>
      <c r="G5" s="51">
        <f>E5-F5</f>
        <v>400000</v>
      </c>
      <c r="H5" s="55">
        <f t="shared" ref="H5:H10" si="0">IFERROR(E5/D5,0)</f>
        <v>1</v>
      </c>
    </row>
    <row r="6" spans="2:8" x14ac:dyDescent="0.3">
      <c r="B6" s="48" t="s">
        <v>114</v>
      </c>
      <c r="C6" s="48" t="s">
        <v>115</v>
      </c>
      <c r="D6" s="50">
        <v>9200000</v>
      </c>
      <c r="E6" s="50">
        <v>7400000</v>
      </c>
      <c r="F6" s="50">
        <v>6900000</v>
      </c>
      <c r="G6" s="51">
        <f>E6-F6</f>
        <v>500000</v>
      </c>
      <c r="H6" s="55">
        <f t="shared" si="0"/>
        <v>0.80434782608695654</v>
      </c>
    </row>
    <row r="7" spans="2:8" x14ac:dyDescent="0.3">
      <c r="B7" s="48" t="s">
        <v>116</v>
      </c>
      <c r="C7" s="48" t="s">
        <v>117</v>
      </c>
      <c r="D7" s="50">
        <v>4800000</v>
      </c>
      <c r="E7" s="50">
        <v>3100000</v>
      </c>
      <c r="F7" s="50">
        <v>2700000</v>
      </c>
      <c r="G7" s="51">
        <f>E7-F7</f>
        <v>400000</v>
      </c>
      <c r="H7" s="55">
        <f t="shared" si="0"/>
        <v>0.64583333333333337</v>
      </c>
    </row>
    <row r="8" spans="2:8" x14ac:dyDescent="0.3">
      <c r="B8" s="48" t="s">
        <v>118</v>
      </c>
      <c r="C8" s="48" t="s">
        <v>119</v>
      </c>
      <c r="D8" s="50">
        <v>3600000</v>
      </c>
      <c r="E8" s="50">
        <v>2500000</v>
      </c>
      <c r="F8" s="50">
        <v>2200000</v>
      </c>
      <c r="G8" s="51">
        <f>E8-F8</f>
        <v>300000</v>
      </c>
      <c r="H8" s="55">
        <f t="shared" si="0"/>
        <v>0.69444444444444442</v>
      </c>
    </row>
    <row r="9" spans="2:8" x14ac:dyDescent="0.3">
      <c r="B9" s="48" t="s">
        <v>120</v>
      </c>
      <c r="C9" s="48" t="s">
        <v>121</v>
      </c>
      <c r="D9" s="50">
        <v>5900000</v>
      </c>
      <c r="E9" s="50">
        <v>1600000</v>
      </c>
      <c r="F9" s="50">
        <v>1300000</v>
      </c>
      <c r="G9" s="51">
        <f>E9-F9</f>
        <v>300000</v>
      </c>
      <c r="H9" s="55">
        <f t="shared" si="0"/>
        <v>0.2711864406779661</v>
      </c>
    </row>
    <row r="10" spans="2:8" x14ac:dyDescent="0.3">
      <c r="B10" s="56" t="s">
        <v>60</v>
      </c>
      <c r="C10" s="57"/>
      <c r="D10" s="58">
        <f>SUM(D5:D9)</f>
        <v>32000000</v>
      </c>
      <c r="E10" s="58">
        <f>SUM(E5:E9)</f>
        <v>23100000</v>
      </c>
      <c r="F10" s="58">
        <f>SUM(F5:F9)</f>
        <v>21200000</v>
      </c>
      <c r="G10" s="58">
        <f>SUM(G5:G9)</f>
        <v>1900000</v>
      </c>
      <c r="H10" s="59">
        <f t="shared" si="0"/>
        <v>0.72187500000000004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21"/>
  <sheetViews>
    <sheetView showGridLines="0" zoomScaleNormal="100" workbookViewId="0"/>
  </sheetViews>
  <sheetFormatPr defaultColWidth="8.6640625" defaultRowHeight="14.4" x14ac:dyDescent="0.3"/>
  <cols>
    <col min="2" max="2" width="26" customWidth="1"/>
    <col min="3" max="3" width="12" customWidth="1"/>
    <col min="4" max="5" width="14" customWidth="1"/>
    <col min="6" max="6" width="18" customWidth="1"/>
  </cols>
  <sheetData>
    <row r="2" spans="2:6" ht="18" x14ac:dyDescent="0.3">
      <c r="B2" s="33" t="s">
        <v>122</v>
      </c>
    </row>
    <row r="3" spans="2:6" x14ac:dyDescent="0.3">
      <c r="B3" s="45" t="s">
        <v>123</v>
      </c>
    </row>
    <row r="5" spans="2:6" ht="30" customHeight="1" x14ac:dyDescent="0.3">
      <c r="B5" s="38" t="s">
        <v>124</v>
      </c>
      <c r="C5" s="38" t="s">
        <v>125</v>
      </c>
      <c r="D5" s="38" t="s">
        <v>126</v>
      </c>
      <c r="E5" s="38" t="s">
        <v>127</v>
      </c>
      <c r="F5" s="38" t="s">
        <v>128</v>
      </c>
    </row>
    <row r="6" spans="2:6" x14ac:dyDescent="0.3">
      <c r="B6" s="48" t="s">
        <v>129</v>
      </c>
      <c r="C6" s="60">
        <v>1</v>
      </c>
      <c r="D6" s="60">
        <v>540</v>
      </c>
      <c r="E6" s="50">
        <v>4500</v>
      </c>
      <c r="F6" s="51">
        <f t="shared" ref="F6:F14" si="0">C6*D6*E6</f>
        <v>2430000</v>
      </c>
    </row>
    <row r="7" spans="2:6" x14ac:dyDescent="0.3">
      <c r="B7" s="48" t="s">
        <v>130</v>
      </c>
      <c r="C7" s="60">
        <v>3</v>
      </c>
      <c r="D7" s="60">
        <v>520</v>
      </c>
      <c r="E7" s="50">
        <v>2600</v>
      </c>
      <c r="F7" s="51">
        <f t="shared" si="0"/>
        <v>4056000</v>
      </c>
    </row>
    <row r="8" spans="2:6" x14ac:dyDescent="0.3">
      <c r="B8" s="48" t="s">
        <v>131</v>
      </c>
      <c r="C8" s="60">
        <v>4</v>
      </c>
      <c r="D8" s="60">
        <v>510</v>
      </c>
      <c r="E8" s="50">
        <v>1800</v>
      </c>
      <c r="F8" s="51">
        <f t="shared" si="0"/>
        <v>3672000</v>
      </c>
    </row>
    <row r="9" spans="2:6" x14ac:dyDescent="0.3">
      <c r="B9" s="48" t="s">
        <v>132</v>
      </c>
      <c r="C9" s="60">
        <v>13</v>
      </c>
      <c r="D9" s="60">
        <v>405</v>
      </c>
      <c r="E9" s="50">
        <v>850</v>
      </c>
      <c r="F9" s="51">
        <f t="shared" si="0"/>
        <v>4475250</v>
      </c>
    </row>
    <row r="10" spans="2:6" x14ac:dyDescent="0.3">
      <c r="B10" s="48" t="s">
        <v>133</v>
      </c>
      <c r="C10" s="60">
        <v>8</v>
      </c>
      <c r="D10" s="60">
        <v>395</v>
      </c>
      <c r="E10" s="50">
        <v>900</v>
      </c>
      <c r="F10" s="51">
        <f t="shared" si="0"/>
        <v>2844000</v>
      </c>
    </row>
    <row r="11" spans="2:6" x14ac:dyDescent="0.3">
      <c r="B11" s="48" t="s">
        <v>134</v>
      </c>
      <c r="C11" s="60">
        <v>10</v>
      </c>
      <c r="D11" s="60">
        <v>390</v>
      </c>
      <c r="E11" s="50">
        <v>880</v>
      </c>
      <c r="F11" s="51">
        <f t="shared" si="0"/>
        <v>3432000</v>
      </c>
    </row>
    <row r="12" spans="2:6" x14ac:dyDescent="0.3">
      <c r="B12" s="48" t="s">
        <v>135</v>
      </c>
      <c r="C12" s="60">
        <v>5</v>
      </c>
      <c r="D12" s="60">
        <v>265</v>
      </c>
      <c r="E12" s="50">
        <v>950</v>
      </c>
      <c r="F12" s="51">
        <f t="shared" si="0"/>
        <v>1258750</v>
      </c>
    </row>
    <row r="13" spans="2:6" x14ac:dyDescent="0.3">
      <c r="B13" s="48" t="s">
        <v>136</v>
      </c>
      <c r="C13" s="60">
        <v>4</v>
      </c>
      <c r="D13" s="60">
        <v>245</v>
      </c>
      <c r="E13" s="50">
        <v>920</v>
      </c>
      <c r="F13" s="51">
        <f t="shared" si="0"/>
        <v>901600</v>
      </c>
    </row>
    <row r="14" spans="2:6" x14ac:dyDescent="0.3">
      <c r="B14" s="48" t="s">
        <v>137</v>
      </c>
      <c r="C14" s="60">
        <v>28</v>
      </c>
      <c r="D14" s="60">
        <v>410</v>
      </c>
      <c r="E14" s="50">
        <v>520</v>
      </c>
      <c r="F14" s="51">
        <f t="shared" si="0"/>
        <v>5969600</v>
      </c>
    </row>
    <row r="15" spans="2:6" x14ac:dyDescent="0.3">
      <c r="B15" s="61" t="s">
        <v>138</v>
      </c>
      <c r="C15" s="39"/>
      <c r="D15" s="39"/>
      <c r="E15" s="39"/>
      <c r="F15" s="50">
        <v>1760800</v>
      </c>
    </row>
    <row r="16" spans="2:6" x14ac:dyDescent="0.3">
      <c r="B16" s="62" t="s">
        <v>139</v>
      </c>
      <c r="C16" s="63">
        <f>SUM(C6:C14)</f>
        <v>76</v>
      </c>
      <c r="D16" s="64"/>
      <c r="E16" s="64"/>
      <c r="F16" s="65">
        <f>SUM(F6:F15)</f>
        <v>30800000</v>
      </c>
    </row>
    <row r="18" spans="2:6" x14ac:dyDescent="0.3">
      <c r="B18" s="66" t="s">
        <v>140</v>
      </c>
    </row>
    <row r="19" spans="2:6" x14ac:dyDescent="0.3">
      <c r="B19" s="67" t="s">
        <v>141</v>
      </c>
      <c r="F19" s="68">
        <f>Project_Data!D16</f>
        <v>30800000</v>
      </c>
    </row>
    <row r="20" spans="2:6" x14ac:dyDescent="0.3">
      <c r="B20" s="67" t="s">
        <v>142</v>
      </c>
      <c r="F20" s="68">
        <f>F16</f>
        <v>30800000</v>
      </c>
    </row>
    <row r="21" spans="2:6" x14ac:dyDescent="0.3">
      <c r="B21" s="52" t="s">
        <v>143</v>
      </c>
      <c r="F21" s="54">
        <f>F19-F20</f>
        <v>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19"/>
  <sheetViews>
    <sheetView showGridLines="0" zoomScaleNormal="100" workbookViewId="0"/>
  </sheetViews>
  <sheetFormatPr defaultColWidth="8.6640625" defaultRowHeight="14.4" x14ac:dyDescent="0.3"/>
  <cols>
    <col min="2" max="2" width="18" customWidth="1"/>
    <col min="3" max="3" width="8" customWidth="1"/>
    <col min="4" max="4" width="13" customWidth="1"/>
    <col min="5" max="5" width="16" customWidth="1"/>
    <col min="6" max="6" width="13" customWidth="1"/>
    <col min="7" max="7" width="14" customWidth="1"/>
    <col min="8" max="8" width="26" customWidth="1"/>
    <col min="9" max="9" width="12" customWidth="1"/>
  </cols>
  <sheetData>
    <row r="2" spans="2:9" ht="18" x14ac:dyDescent="0.3">
      <c r="B2" s="33" t="s">
        <v>144</v>
      </c>
    </row>
    <row r="4" spans="2:9" ht="15.6" x14ac:dyDescent="0.3">
      <c r="B4" s="23" t="s">
        <v>145</v>
      </c>
    </row>
    <row r="5" spans="2:9" ht="30" customHeight="1" x14ac:dyDescent="0.3">
      <c r="B5" s="38" t="s">
        <v>29</v>
      </c>
      <c r="C5" s="38" t="s">
        <v>146</v>
      </c>
      <c r="D5" s="38" t="s">
        <v>147</v>
      </c>
      <c r="E5" s="38" t="s">
        <v>148</v>
      </c>
      <c r="F5" s="38" t="s">
        <v>149</v>
      </c>
      <c r="G5" s="38" t="s">
        <v>150</v>
      </c>
    </row>
    <row r="6" spans="2:9" x14ac:dyDescent="0.3">
      <c r="B6" s="48" t="s">
        <v>151</v>
      </c>
      <c r="C6" s="49" t="s">
        <v>152</v>
      </c>
      <c r="D6" s="60">
        <v>42000</v>
      </c>
      <c r="E6" s="60">
        <v>33200</v>
      </c>
      <c r="F6" s="69">
        <f>D6-E6</f>
        <v>8800</v>
      </c>
      <c r="G6" s="49" t="str">
        <f>IF(E6&lt;=D6,"Within Budget","Over Budget")</f>
        <v>Within Budget</v>
      </c>
    </row>
    <row r="7" spans="2:9" x14ac:dyDescent="0.3">
      <c r="B7" s="48" t="s">
        <v>153</v>
      </c>
      <c r="C7" s="49" t="s">
        <v>154</v>
      </c>
      <c r="D7" s="60">
        <v>1350</v>
      </c>
      <c r="E7" s="60">
        <v>1058</v>
      </c>
      <c r="F7" s="69">
        <f>D7-E7</f>
        <v>292</v>
      </c>
      <c r="G7" s="49" t="str">
        <f>IF(E7&lt;=D7,"Within Budget","Over Budget")</f>
        <v>Within Budget</v>
      </c>
    </row>
    <row r="8" spans="2:9" x14ac:dyDescent="0.3">
      <c r="B8" s="48" t="s">
        <v>155</v>
      </c>
      <c r="C8" s="49" t="s">
        <v>156</v>
      </c>
      <c r="D8" s="60">
        <v>210000</v>
      </c>
      <c r="E8" s="60">
        <v>168500</v>
      </c>
      <c r="F8" s="69">
        <f>D8-E8</f>
        <v>41500</v>
      </c>
      <c r="G8" s="49" t="str">
        <f>IF(E8&lt;=D8,"Within Budget","Over Budget")</f>
        <v>Within Budget</v>
      </c>
    </row>
    <row r="9" spans="2:9" x14ac:dyDescent="0.3">
      <c r="B9" s="48" t="s">
        <v>157</v>
      </c>
      <c r="C9" s="49" t="s">
        <v>156</v>
      </c>
      <c r="D9" s="60">
        <v>185000</v>
      </c>
      <c r="E9" s="60">
        <v>146200</v>
      </c>
      <c r="F9" s="69">
        <f>D9-E9</f>
        <v>38800</v>
      </c>
      <c r="G9" s="49" t="str">
        <f>IF(E9&lt;=D9,"Within Budget","Over Budget")</f>
        <v>Within Budget</v>
      </c>
    </row>
    <row r="10" spans="2:9" x14ac:dyDescent="0.3">
      <c r="B10" s="48" t="s">
        <v>158</v>
      </c>
      <c r="C10" s="49" t="s">
        <v>159</v>
      </c>
      <c r="D10" s="60">
        <v>620000</v>
      </c>
      <c r="E10" s="60">
        <v>498000</v>
      </c>
      <c r="F10" s="69">
        <f>D10-E10</f>
        <v>122000</v>
      </c>
      <c r="G10" s="49" t="str">
        <f>IF(E10&lt;=D10,"Within Budget","Over Budget")</f>
        <v>Within Budget</v>
      </c>
    </row>
    <row r="14" spans="2:9" ht="15.6" x14ac:dyDescent="0.3">
      <c r="B14" s="23" t="s">
        <v>160</v>
      </c>
    </row>
    <row r="15" spans="2:9" x14ac:dyDescent="0.3">
      <c r="B15" s="45" t="s">
        <v>161</v>
      </c>
    </row>
    <row r="16" spans="2:9" ht="30" customHeight="1" x14ac:dyDescent="0.3">
      <c r="B16" s="38" t="s">
        <v>29</v>
      </c>
      <c r="C16" s="38" t="s">
        <v>146</v>
      </c>
      <c r="D16" s="38" t="s">
        <v>162</v>
      </c>
      <c r="E16" s="38" t="s">
        <v>163</v>
      </c>
      <c r="F16" s="38" t="s">
        <v>164</v>
      </c>
      <c r="G16" s="38" t="s">
        <v>165</v>
      </c>
      <c r="H16" s="38" t="s">
        <v>166</v>
      </c>
      <c r="I16" s="38" t="s">
        <v>167</v>
      </c>
    </row>
    <row r="17" spans="2:9" x14ac:dyDescent="0.3">
      <c r="B17" s="48" t="s">
        <v>151</v>
      </c>
      <c r="C17" s="49" t="s">
        <v>168</v>
      </c>
      <c r="D17" s="50">
        <v>380</v>
      </c>
      <c r="E17" s="50">
        <v>402</v>
      </c>
      <c r="F17" s="60">
        <v>33200</v>
      </c>
      <c r="G17" s="51">
        <f>D17-E17</f>
        <v>-22</v>
      </c>
      <c r="H17" s="51">
        <f>(D17-E17)*F17</f>
        <v>-730400</v>
      </c>
      <c r="I17" s="49" t="str">
        <f>IF(H17&gt;=0,"Favourable","Adverse")</f>
        <v>Adverse</v>
      </c>
    </row>
    <row r="18" spans="2:9" x14ac:dyDescent="0.3">
      <c r="B18" s="48" t="s">
        <v>153</v>
      </c>
      <c r="C18" s="49" t="s">
        <v>169</v>
      </c>
      <c r="D18" s="50">
        <v>62</v>
      </c>
      <c r="E18" s="50">
        <v>58</v>
      </c>
      <c r="F18" s="60">
        <v>1058000</v>
      </c>
      <c r="G18" s="51">
        <f>D18-E18</f>
        <v>4</v>
      </c>
      <c r="H18" s="51">
        <f>(D18-E18)*F18</f>
        <v>4232000</v>
      </c>
      <c r="I18" s="49" t="str">
        <f>IF(H18&gt;=0,"Favourable","Adverse")</f>
        <v>Favourable</v>
      </c>
    </row>
    <row r="19" spans="2:9" x14ac:dyDescent="0.3">
      <c r="B19" s="52" t="s">
        <v>170</v>
      </c>
      <c r="C19" s="53"/>
      <c r="D19" s="53"/>
      <c r="E19" s="53"/>
      <c r="F19" s="53"/>
      <c r="G19" s="53"/>
      <c r="H19" s="54">
        <f>SUM(H17:H18)</f>
        <v>3501600</v>
      </c>
      <c r="I19" s="70" t="str">
        <f>IF(H19&gt;=0,"Favourable","Adverse")</f>
        <v>Favourable</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22"/>
  <sheetViews>
    <sheetView showGridLines="0" zoomScaleNormal="100" workbookViewId="0"/>
  </sheetViews>
  <sheetFormatPr defaultColWidth="8.6640625" defaultRowHeight="14.4" x14ac:dyDescent="0.3"/>
  <cols>
    <col min="2" max="2" width="10" customWidth="1"/>
    <col min="3" max="5" width="18" customWidth="1"/>
    <col min="6" max="6" width="20" customWidth="1"/>
  </cols>
  <sheetData>
    <row r="2" spans="2:6" ht="18" x14ac:dyDescent="0.3">
      <c r="B2" s="33" t="s">
        <v>171</v>
      </c>
    </row>
    <row r="3" spans="2:6" x14ac:dyDescent="0.3">
      <c r="B3" s="20" t="s">
        <v>172</v>
      </c>
    </row>
    <row r="5" spans="2:6" ht="30" customHeight="1" x14ac:dyDescent="0.3">
      <c r="B5" s="38" t="s">
        <v>173</v>
      </c>
      <c r="C5" s="38" t="s">
        <v>174</v>
      </c>
      <c r="D5" s="38" t="s">
        <v>175</v>
      </c>
      <c r="E5" s="38" t="s">
        <v>176</v>
      </c>
      <c r="F5" s="38" t="s">
        <v>177</v>
      </c>
    </row>
    <row r="6" spans="2:6" x14ac:dyDescent="0.3">
      <c r="B6" s="49" t="s">
        <v>88</v>
      </c>
      <c r="C6" s="50">
        <v>11200000</v>
      </c>
      <c r="D6" s="50">
        <v>9500000</v>
      </c>
      <c r="E6" s="51">
        <f t="shared" ref="E6:E14" si="0">C6-D6</f>
        <v>1700000</v>
      </c>
      <c r="F6" s="51">
        <f>E6</f>
        <v>1700000</v>
      </c>
    </row>
    <row r="7" spans="2:6" x14ac:dyDescent="0.3">
      <c r="B7" s="49" t="s">
        <v>90</v>
      </c>
      <c r="C7" s="50">
        <v>13400000</v>
      </c>
      <c r="D7" s="50">
        <v>12800000</v>
      </c>
      <c r="E7" s="51">
        <f t="shared" si="0"/>
        <v>600000</v>
      </c>
      <c r="F7" s="51">
        <f t="shared" ref="F7:F14" si="1">F6+E7</f>
        <v>2300000</v>
      </c>
    </row>
    <row r="8" spans="2:6" x14ac:dyDescent="0.3">
      <c r="B8" s="49" t="s">
        <v>92</v>
      </c>
      <c r="C8" s="50">
        <v>14600000</v>
      </c>
      <c r="D8" s="50">
        <v>14600000</v>
      </c>
      <c r="E8" s="51">
        <f t="shared" si="0"/>
        <v>0</v>
      </c>
      <c r="F8" s="51">
        <f t="shared" si="1"/>
        <v>2300000</v>
      </c>
    </row>
    <row r="9" spans="2:6" x14ac:dyDescent="0.3">
      <c r="B9" s="49" t="s">
        <v>94</v>
      </c>
      <c r="C9" s="50">
        <v>13600000</v>
      </c>
      <c r="D9" s="50">
        <v>13900000</v>
      </c>
      <c r="E9" s="51">
        <f t="shared" si="0"/>
        <v>-300000</v>
      </c>
      <c r="F9" s="51">
        <f t="shared" si="1"/>
        <v>2000000</v>
      </c>
    </row>
    <row r="10" spans="2:6" x14ac:dyDescent="0.3">
      <c r="B10" s="49" t="s">
        <v>96</v>
      </c>
      <c r="C10" s="50">
        <v>15700000</v>
      </c>
      <c r="D10" s="50">
        <v>15200000</v>
      </c>
      <c r="E10" s="51">
        <f t="shared" si="0"/>
        <v>500000</v>
      </c>
      <c r="F10" s="51">
        <f t="shared" si="1"/>
        <v>2500000</v>
      </c>
    </row>
    <row r="11" spans="2:6" x14ac:dyDescent="0.3">
      <c r="B11" s="49" t="s">
        <v>98</v>
      </c>
      <c r="C11" s="50">
        <v>12300000</v>
      </c>
      <c r="D11" s="50">
        <v>14100000</v>
      </c>
      <c r="E11" s="51">
        <f t="shared" si="0"/>
        <v>-1800000</v>
      </c>
      <c r="F11" s="51">
        <f t="shared" si="1"/>
        <v>700000</v>
      </c>
    </row>
    <row r="12" spans="2:6" x14ac:dyDescent="0.3">
      <c r="B12" s="49" t="s">
        <v>100</v>
      </c>
      <c r="C12" s="50">
        <v>13900000</v>
      </c>
      <c r="D12" s="50">
        <v>13700000</v>
      </c>
      <c r="E12" s="51">
        <f t="shared" si="0"/>
        <v>200000</v>
      </c>
      <c r="F12" s="51">
        <f t="shared" si="1"/>
        <v>900000</v>
      </c>
    </row>
    <row r="13" spans="2:6" x14ac:dyDescent="0.3">
      <c r="B13" s="49" t="s">
        <v>102</v>
      </c>
      <c r="C13" s="50">
        <v>11800000</v>
      </c>
      <c r="D13" s="50">
        <v>13400000</v>
      </c>
      <c r="E13" s="51">
        <f t="shared" si="0"/>
        <v>-1600000</v>
      </c>
      <c r="F13" s="51">
        <f t="shared" si="1"/>
        <v>-700000</v>
      </c>
    </row>
    <row r="14" spans="2:6" x14ac:dyDescent="0.3">
      <c r="B14" s="49" t="s">
        <v>104</v>
      </c>
      <c r="C14" s="50">
        <v>7600000</v>
      </c>
      <c r="D14" s="50">
        <v>11200000</v>
      </c>
      <c r="E14" s="51">
        <f t="shared" si="0"/>
        <v>-3600000</v>
      </c>
      <c r="F14" s="51">
        <f t="shared" si="1"/>
        <v>-4300000</v>
      </c>
    </row>
    <row r="15" spans="2:6" x14ac:dyDescent="0.3">
      <c r="B15" s="52" t="s">
        <v>60</v>
      </c>
      <c r="C15" s="54">
        <f>SUM(C6:C14)</f>
        <v>114100000</v>
      </c>
      <c r="D15" s="54">
        <f>SUM(D6:D14)</f>
        <v>118400000</v>
      </c>
      <c r="E15" s="54">
        <f>SUM(E6:E14)</f>
        <v>-4300000</v>
      </c>
      <c r="F15" s="53"/>
    </row>
    <row r="18" spans="2:4" ht="15.6" x14ac:dyDescent="0.3">
      <c r="B18" s="23" t="s">
        <v>178</v>
      </c>
    </row>
    <row r="19" spans="2:4" x14ac:dyDescent="0.3">
      <c r="B19" s="45" t="s">
        <v>179</v>
      </c>
    </row>
    <row r="20" spans="2:4" x14ac:dyDescent="0.3">
      <c r="B20" s="67" t="s">
        <v>180</v>
      </c>
      <c r="D20" s="68">
        <f>Project_Data!D20</f>
        <v>122600000</v>
      </c>
    </row>
    <row r="21" spans="2:4" x14ac:dyDescent="0.3">
      <c r="B21" s="67" t="s">
        <v>181</v>
      </c>
      <c r="D21" s="68">
        <f>D15</f>
        <v>118400000</v>
      </c>
    </row>
    <row r="22" spans="2:4" x14ac:dyDescent="0.3">
      <c r="B22" s="52" t="s">
        <v>182</v>
      </c>
      <c r="D22" s="54">
        <f>D20-D21</f>
        <v>4200000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12"/>
  <sheetViews>
    <sheetView showGridLines="0" zoomScaleNormal="100" workbookViewId="0"/>
  </sheetViews>
  <sheetFormatPr defaultColWidth="8.6640625" defaultRowHeight="14.4" x14ac:dyDescent="0.3"/>
  <cols>
    <col min="2" max="2" width="24" customWidth="1"/>
    <col min="3" max="4" width="12" customWidth="1"/>
    <col min="5" max="5" width="15" customWidth="1"/>
    <col min="6" max="6" width="12" customWidth="1"/>
  </cols>
  <sheetData>
    <row r="2" spans="2:6" ht="18" x14ac:dyDescent="0.3">
      <c r="B2" s="33" t="s">
        <v>183</v>
      </c>
    </row>
    <row r="4" spans="2:6" ht="30" customHeight="1" x14ac:dyDescent="0.3">
      <c r="B4" s="38" t="s">
        <v>184</v>
      </c>
      <c r="C4" s="38" t="s">
        <v>185</v>
      </c>
      <c r="D4" s="38" t="s">
        <v>186</v>
      </c>
      <c r="E4" s="38" t="s">
        <v>187</v>
      </c>
      <c r="F4" s="38" t="s">
        <v>150</v>
      </c>
    </row>
    <row r="5" spans="2:6" x14ac:dyDescent="0.3">
      <c r="B5" s="48" t="s">
        <v>188</v>
      </c>
      <c r="C5" s="71">
        <v>1</v>
      </c>
      <c r="D5" s="71">
        <v>1</v>
      </c>
      <c r="E5" s="72">
        <f t="shared" ref="E5:E12" si="0">(D5-C5)*100</f>
        <v>0</v>
      </c>
      <c r="F5" s="49" t="str">
        <f t="shared" ref="F5:F12" si="1">IF(D5&gt;=C5,"On Track","Behind")</f>
        <v>On Track</v>
      </c>
    </row>
    <row r="6" spans="2:6" x14ac:dyDescent="0.3">
      <c r="B6" s="48" t="s">
        <v>189</v>
      </c>
      <c r="C6" s="71">
        <v>1</v>
      </c>
      <c r="D6" s="71">
        <v>1</v>
      </c>
      <c r="E6" s="72">
        <f t="shared" si="0"/>
        <v>0</v>
      </c>
      <c r="F6" s="49" t="str">
        <f t="shared" si="1"/>
        <v>On Track</v>
      </c>
    </row>
    <row r="7" spans="2:6" x14ac:dyDescent="0.3">
      <c r="B7" s="48" t="s">
        <v>190</v>
      </c>
      <c r="C7" s="71">
        <v>0.95</v>
      </c>
      <c r="D7" s="71">
        <v>0.92</v>
      </c>
      <c r="E7" s="72">
        <f t="shared" si="0"/>
        <v>-2.9999999999999916</v>
      </c>
      <c r="F7" s="49" t="str">
        <f t="shared" si="1"/>
        <v>Behind</v>
      </c>
    </row>
    <row r="8" spans="2:6" x14ac:dyDescent="0.3">
      <c r="B8" s="48" t="s">
        <v>191</v>
      </c>
      <c r="C8" s="71">
        <v>0.85</v>
      </c>
      <c r="D8" s="71">
        <v>0.8</v>
      </c>
      <c r="E8" s="72">
        <f t="shared" si="0"/>
        <v>-4.9999999999999929</v>
      </c>
      <c r="F8" s="49" t="str">
        <f t="shared" si="1"/>
        <v>Behind</v>
      </c>
    </row>
    <row r="9" spans="2:6" x14ac:dyDescent="0.3">
      <c r="B9" s="48" t="s">
        <v>192</v>
      </c>
      <c r="C9" s="71">
        <v>0.7</v>
      </c>
      <c r="D9" s="71">
        <v>0.62</v>
      </c>
      <c r="E9" s="72">
        <f t="shared" si="0"/>
        <v>-7.9999999999999964</v>
      </c>
      <c r="F9" s="49" t="str">
        <f t="shared" si="1"/>
        <v>Behind</v>
      </c>
    </row>
    <row r="10" spans="2:6" x14ac:dyDescent="0.3">
      <c r="B10" s="48" t="s">
        <v>193</v>
      </c>
      <c r="C10" s="71">
        <v>0.55000000000000004</v>
      </c>
      <c r="D10" s="71">
        <v>0.48</v>
      </c>
      <c r="E10" s="72">
        <f t="shared" si="0"/>
        <v>-7.0000000000000062</v>
      </c>
      <c r="F10" s="49" t="str">
        <f t="shared" si="1"/>
        <v>Behind</v>
      </c>
    </row>
    <row r="11" spans="2:6" x14ac:dyDescent="0.3">
      <c r="B11" s="48" t="s">
        <v>121</v>
      </c>
      <c r="C11" s="71">
        <v>0.3</v>
      </c>
      <c r="D11" s="71">
        <v>0.22</v>
      </c>
      <c r="E11" s="72">
        <f t="shared" si="0"/>
        <v>-7.9999999999999991</v>
      </c>
      <c r="F11" s="49" t="str">
        <f t="shared" si="1"/>
        <v>Behind</v>
      </c>
    </row>
    <row r="12" spans="2:6" x14ac:dyDescent="0.3">
      <c r="B12" s="48" t="s">
        <v>194</v>
      </c>
      <c r="C12" s="71">
        <v>0.1</v>
      </c>
      <c r="D12" s="71">
        <v>0.05</v>
      </c>
      <c r="E12" s="72">
        <f t="shared" si="0"/>
        <v>-5</v>
      </c>
      <c r="F12" s="49" t="str">
        <f t="shared" si="1"/>
        <v>Behind</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About</vt:lpstr>
      <vt:lpstr>Dashboard</vt:lpstr>
      <vt:lpstr>Project_Data</vt:lpstr>
      <vt:lpstr>RA_Bills</vt:lpstr>
      <vt:lpstr>Subcontractors</vt:lpstr>
      <vt:lpstr>Manpower</vt:lpstr>
      <vt:lpstr>Materials</vt:lpstr>
      <vt:lpstr>Cashflow</vt:lpstr>
      <vt:lpstr>Milestones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Kiki .</cp:lastModifiedBy>
  <cp:revision>1</cp:revision>
  <dcterms:created xsi:type="dcterms:W3CDTF">2026-08-13T01:53:24Z</dcterms:created>
  <dcterms:modified xsi:type="dcterms:W3CDTF">2026-08-13T02:03:51Z</dcterms:modified>
  <dc:language>en-US</dc:language>
</cp:coreProperties>
</file>