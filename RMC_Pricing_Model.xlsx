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HILA NAYAK\Downloads\"/>
    </mc:Choice>
  </mc:AlternateContent>
  <xr:revisionPtr revIDLastSave="0" documentId="13_ncr:1_{6A9C3DDE-259F-48AB-AF71-66AF53EC60FC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About" sheetId="1" r:id="rId1"/>
    <sheet name="Pricing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2" l="1"/>
  <c r="H34" i="2" s="1"/>
  <c r="H25" i="2"/>
  <c r="E22" i="2"/>
  <c r="D22" i="2"/>
  <c r="C22" i="2"/>
  <c r="B22" i="2"/>
  <c r="H15" i="2"/>
  <c r="H36" i="2" s="1"/>
  <c r="H39" i="2" s="1"/>
  <c r="B14" i="2"/>
  <c r="B18" i="2" s="1"/>
  <c r="B24" i="2" l="1"/>
  <c r="E24" i="2"/>
  <c r="C24" i="2"/>
  <c r="D24" i="2"/>
  <c r="B23" i="2"/>
  <c r="C23" i="2"/>
  <c r="D23" i="2"/>
  <c r="E23" i="2"/>
  <c r="C25" i="2" l="1"/>
  <c r="C30" i="2" s="1"/>
  <c r="C31" i="2" s="1"/>
  <c r="C32" i="2" s="1"/>
  <c r="D25" i="2"/>
  <c r="D30" i="2" s="1"/>
  <c r="D31" i="2" s="1"/>
  <c r="D32" i="2" s="1"/>
  <c r="E25" i="2"/>
  <c r="E30" i="2" s="1"/>
  <c r="E31" i="2" s="1"/>
  <c r="E32" i="2" s="1"/>
  <c r="B25" i="2"/>
  <c r="B30" i="2" s="1"/>
  <c r="B31" i="2" s="1"/>
  <c r="B32" i="2" s="1"/>
</calcChain>
</file>

<file path=xl/sharedStrings.xml><?xml version="1.0" encoding="utf-8"?>
<sst xmlns="http://schemas.openxmlformats.org/spreadsheetml/2006/main" count="121" uniqueCount="108">
  <si>
    <t>Ready-Mix Concrete (RMC) Grade-Wise Pricing &amp; Cost Model</t>
  </si>
  <si>
    <t>A costing model that derives grade-wise selling prices (M10–M25) from first principles.</t>
  </si>
  <si>
    <t>WHAT THIS SHOWS</t>
  </si>
  <si>
    <t>•  Builds raw-material cost per CBM for each concrete grade from mix ratios and input rates.</t>
  </si>
  <si>
    <t>•  Separates variable costs (diesel, transport, handling) from fixed costs (salaries, rent, EMIs, plant).</t>
  </si>
  <si>
    <t>•  Allocates monthly fixed cost per CBM using expected volume, then applies a target margin to set selling price.</t>
  </si>
  <si>
    <t>•  Includes a pump-cost recovery sub-model and break-even volume logic. Blue input cells drive the whole sheet.</t>
  </si>
  <si>
    <t>SKILLS DEMONSTRATED</t>
  </si>
  <si>
    <t>Management / Cost Accounting · Cost-Volume-Profit · Pricing Strategy · Contribution &amp; Break-even Analysis · Advanced Excel modeling · Variance Analysis</t>
  </si>
  <si>
    <t>Built by Akhila Nayak  ·  Accountant  ·  R2R, MIS &amp; Cost Analysis</t>
  </si>
  <si>
    <t xml:space="preserve">  RMC PRICE CALCULATOR  ·  Per Cubic Meter (CBM)</t>
  </si>
  <si>
    <t xml:space="preserve">  ⚡  Blue = Change these inputs   |   Black = Auto-calculated   |   Green = Final selling price</t>
  </si>
  <si>
    <t>SECTION 1  ·  VARIABLE COST INPUTS</t>
  </si>
  <si>
    <t>SECTION 3A  ·  FIXED COSTS (Monthly)</t>
  </si>
  <si>
    <t>Material</t>
  </si>
  <si>
    <t>Unit</t>
  </si>
  <si>
    <t>Qty/CBM ref</t>
  </si>
  <si>
    <t>Cost Item</t>
  </si>
  <si>
    <t>Monthly (₹)</t>
  </si>
  <si>
    <t>Cement</t>
  </si>
  <si>
    <t>₹/Kg</t>
  </si>
  <si>
    <t>M10:200  M15:260</t>
  </si>
  <si>
    <t>M20:300  M25:320</t>
  </si>
  <si>
    <t>Driver Salary (×3 drivers)</t>
  </si>
  <si>
    <t>Sand</t>
  </si>
  <si>
    <t>M10:850  M15:760</t>
  </si>
  <si>
    <t>M20:860  M25:850</t>
  </si>
  <si>
    <t>Plant Operator</t>
  </si>
  <si>
    <t>Jelly</t>
  </si>
  <si>
    <t>M10:1110  M15:1140</t>
  </si>
  <si>
    <t>M20:1110  M25:1110</t>
  </si>
  <si>
    <t>Plant Incharge</t>
  </si>
  <si>
    <t>Admixture</t>
  </si>
  <si>
    <t>M10:1.3  M15:1.4</t>
  </si>
  <si>
    <t>M20:1.6  M25:1.7</t>
  </si>
  <si>
    <t>Plant Helper</t>
  </si>
  <si>
    <t>Variable Cost Item</t>
  </si>
  <si>
    <t>Value</t>
  </si>
  <si>
    <t>Note</t>
  </si>
  <si>
    <t>Rent for Plant</t>
  </si>
  <si>
    <t>Diesel per Load (Generator)</t>
  </si>
  <si>
    <t>Litres</t>
  </si>
  <si>
    <t>Per 7.5 CBM load</t>
  </si>
  <si>
    <t>Electricity (Fixed)</t>
  </si>
  <si>
    <t>CBM per Load (Transit Mixer)</t>
  </si>
  <si>
    <t>CBM</t>
  </si>
  <si>
    <t>Standard TM capacity</t>
  </si>
  <si>
    <t>Repairs &amp; Maintenance</t>
  </si>
  <si>
    <t>Diesel Price</t>
  </si>
  <si>
    <t>₹/Litre</t>
  </si>
  <si>
    <t>Update when fuel prices change</t>
  </si>
  <si>
    <t>Pump (Fixed)</t>
  </si>
  <si>
    <t xml:space="preserve">  → Diesel Cost per CBM</t>
  </si>
  <si>
    <t>₹/CBM</t>
  </si>
  <si>
    <t>Auto-calculated</t>
  </si>
  <si>
    <t>Contingency (~5%)</t>
  </si>
  <si>
    <t>TM Transport Charge</t>
  </si>
  <si>
    <t>Internal — plant to site &amp; back</t>
  </si>
  <si>
    <t>Fixed Cost (excl. EMIs)</t>
  </si>
  <si>
    <t>JCB Material Handling</t>
  </si>
  <si>
    <t>Loading materials into plant</t>
  </si>
  <si>
    <t>Electricity (Variable)</t>
  </si>
  <si>
    <t>Variable portion of bill</t>
  </si>
  <si>
    <t>SECTION 3B  ·  LOAN EMIs (Monthly)</t>
  </si>
  <si>
    <t>TOTAL OTHER VARIABLE COST</t>
  </si>
  <si>
    <t>Same across all grades</t>
  </si>
  <si>
    <t>Loan</t>
  </si>
  <si>
    <t>EMI (₹/month)</t>
  </si>
  <si>
    <t>SECTION 2  ·  TOTAL COST SUMMARY  (₹ per CBM)</t>
  </si>
  <si>
    <t>Cost Component</t>
  </si>
  <si>
    <t>M10</t>
  </si>
  <si>
    <t>M15</t>
  </si>
  <si>
    <t>M20</t>
  </si>
  <si>
    <t>M25</t>
  </si>
  <si>
    <t>Raw Material Cost (₹/CBM)</t>
  </si>
  <si>
    <t>Other Variable Cost (₹/CBM)</t>
  </si>
  <si>
    <t>Fixed Cost per CBM  (from right →)</t>
  </si>
  <si>
    <t>TOTAL COST (₹/CBM)</t>
  </si>
  <si>
    <t>Total EMIs</t>
  </si>
  <si>
    <t>SECTION 3  ·  SELLING PRICE</t>
  </si>
  <si>
    <t>SECTION 3C  ·  PUMP COST (Monthly)</t>
  </si>
  <si>
    <t>Pump Monthly Fixed Cost</t>
  </si>
  <si>
    <t>Target Profit Margin (%)</t>
  </si>
  <si>
    <t>Pump Charge Threshold</t>
  </si>
  <si>
    <t>SELLING PRICE (₹/CBM)</t>
  </si>
  <si>
    <t>Small-Order Pump Charge</t>
  </si>
  <si>
    <t>Profit per CBM (₹)</t>
  </si>
  <si>
    <t>Est. Pump Orders/Month</t>
  </si>
  <si>
    <t>Est. Monthly Profit (÷4 grades equally)</t>
  </si>
  <si>
    <t>% of Pump Orders &lt; Threshold</t>
  </si>
  <si>
    <t xml:space="preserve">  → Monthly Recovery from Small Orders</t>
  </si>
  <si>
    <t xml:space="preserve">  → Net Pump Cost (after recovery)</t>
  </si>
  <si>
    <t>TOTAL FIXED COST (Monthly)</t>
  </si>
  <si>
    <t>Expected Monthly Volume</t>
  </si>
  <si>
    <t xml:space="preserve">  → Fixed Cost per CBM</t>
  </si>
  <si>
    <t>HOW THE PUMP WORKS</t>
  </si>
  <si>
    <t>₹50k/month covers pump labour, diesel &amp; transit.</t>
  </si>
  <si>
    <t>Small orders (&lt;30 CBM): client pays ₹10k → partial recovery.</t>
  </si>
  <si>
    <t>Large orders (≥30 CBM): pump is free to client.</t>
  </si>
  <si>
    <t>Net pump cost is absorbed into your fixed cost per CBM.</t>
  </si>
  <si>
    <t>Adjust estimates after 1–2 months of real data.</t>
  </si>
  <si>
    <t>⚠  ILLUSTRATIVE / SAMPLE DATA  built to demonstrate methodology. All names, figures and values are fictional and do not represent any real company or client.</t>
  </si>
  <si>
    <t xml:space="preserve">Pump Loan </t>
  </si>
  <si>
    <t xml:space="preserve">Mixer Loan </t>
  </si>
  <si>
    <t xml:space="preserve">Generator Loan </t>
  </si>
  <si>
    <t xml:space="preserve">JCB Loan </t>
  </si>
  <si>
    <t>TM I Loan</t>
  </si>
  <si>
    <t xml:space="preserve">TM II Loan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</si>
</sst>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\₹#,##0"/>
    <numFmt numFmtId="166" formatCode="#,##0.0"/>
    <numFmt numFmtId="167" formatCode="0.0%"/>
  </numFmts>
  <fonts count="2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10"/>
      <color rgb="FF595959"/>
      <name val="Arial"/>
      <charset val="1"/>
    </font>
    <font>
      <i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C55A11"/>
      <name val="Arial"/>
      <charset val="1"/>
    </font>
    <font>
      <b/>
      <sz val="11"/>
      <color rgb="FF375623"/>
      <name val="Arial"/>
      <charset val="1"/>
    </font>
    <font>
      <sz val="10"/>
      <color rgb="FF375623"/>
      <name val="Arial"/>
      <charset val="1"/>
    </font>
    <font>
      <sz val="10"/>
      <color rgb="FF595959"/>
      <name val="Arial"/>
      <charset val="1"/>
    </font>
    <font>
      <i/>
      <sz val="9"/>
      <color rgb="FF595959"/>
      <name val="Arial"/>
      <charset val="1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8"/>
      <color rgb="FF1F2A44"/>
      <name val="Calibri"/>
    </font>
    <font>
      <i/>
      <sz val="11"/>
      <color rgb="FF2E5A88"/>
      <name val="Calibri"/>
    </font>
    <font>
      <b/>
      <sz val="10"/>
      <color rgb="FF8A5A00"/>
      <name val="Calibri"/>
    </font>
    <font>
      <b/>
      <sz val="11"/>
      <color rgb="FF2E5A88"/>
      <name val="Calibri"/>
    </font>
    <font>
      <sz val="11"/>
      <color rgb="FF1F2A44"/>
      <name val="Calibri"/>
    </font>
    <font>
      <i/>
      <sz val="10"/>
      <color rgb="FF666666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E2EFDA"/>
      </patternFill>
    </fill>
    <fill>
      <patternFill patternType="solid">
        <fgColor rgb="FF1A5276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EF3C7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92400E"/>
        <bgColor rgb="FF993366"/>
      </patternFill>
    </fill>
    <fill>
      <patternFill patternType="solid">
        <fgColor rgb="FFFEF3C7"/>
        <bgColor rgb="FFFFF2CC"/>
      </patternFill>
    </fill>
    <fill>
      <patternFill patternType="solid">
        <fgColor rgb="FFFFF4E5"/>
      </patternFill>
    </fill>
  </fills>
  <borders count="5"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9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 wrapText="1"/>
    </xf>
    <xf numFmtId="166" fontId="6" fillId="6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left" vertical="center" wrapText="1"/>
    </xf>
    <xf numFmtId="164" fontId="9" fillId="8" borderId="2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left" vertical="center" wrapText="1"/>
    </xf>
    <xf numFmtId="165" fontId="10" fillId="9" borderId="2" xfId="0" applyNumberFormat="1" applyFont="1" applyFill="1" applyBorder="1" applyAlignment="1">
      <alignment horizontal="right" vertical="center"/>
    </xf>
    <xf numFmtId="164" fontId="10" fillId="9" borderId="2" xfId="0" applyNumberFormat="1" applyFont="1" applyFill="1" applyBorder="1" applyAlignment="1">
      <alignment horizontal="right" vertical="center"/>
    </xf>
    <xf numFmtId="164" fontId="9" fillId="3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left" vertical="center" wrapText="1"/>
    </xf>
    <xf numFmtId="165" fontId="11" fillId="10" borderId="2" xfId="0" applyNumberFormat="1" applyFont="1" applyFill="1" applyBorder="1" applyAlignment="1">
      <alignment horizontal="right" vertical="center"/>
    </xf>
    <xf numFmtId="164" fontId="11" fillId="10" borderId="2" xfId="0" applyNumberFormat="1" applyFont="1" applyFill="1" applyBorder="1" applyAlignment="1">
      <alignment horizontal="right" vertical="center"/>
    </xf>
    <xf numFmtId="0" fontId="5" fillId="12" borderId="2" xfId="0" applyFont="1" applyFill="1" applyBorder="1" applyAlignment="1">
      <alignment horizontal="left" vertical="center" wrapText="1"/>
    </xf>
    <xf numFmtId="3" fontId="6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 vertical="center" wrapText="1"/>
    </xf>
    <xf numFmtId="167" fontId="6" fillId="6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left" vertical="center" wrapText="1"/>
    </xf>
    <xf numFmtId="165" fontId="12" fillId="9" borderId="2" xfId="0" applyNumberFormat="1" applyFont="1" applyFill="1" applyBorder="1" applyAlignment="1">
      <alignment horizontal="right" vertical="center"/>
    </xf>
    <xf numFmtId="0" fontId="9" fillId="9" borderId="2" xfId="0" applyFont="1" applyFill="1" applyBorder="1" applyAlignment="1">
      <alignment horizontal="left" vertical="center" wrapText="1"/>
    </xf>
    <xf numFmtId="164" fontId="13" fillId="9" borderId="2" xfId="0" applyNumberFormat="1" applyFont="1" applyFill="1" applyBorder="1" applyAlignment="1">
      <alignment horizontal="right" vertical="center"/>
    </xf>
    <xf numFmtId="9" fontId="6" fillId="6" borderId="2" xfId="0" applyNumberFormat="1" applyFont="1" applyFill="1" applyBorder="1" applyAlignment="1">
      <alignment horizontal="right" vertical="center"/>
    </xf>
    <xf numFmtId="165" fontId="13" fillId="9" borderId="2" xfId="0" applyNumberFormat="1" applyFont="1" applyFill="1" applyBorder="1" applyAlignment="1">
      <alignment horizontal="right" vertical="center"/>
    </xf>
    <xf numFmtId="165" fontId="14" fillId="8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9" fillId="3" borderId="2" xfId="0" applyFont="1" applyFill="1" applyBorder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22" fillId="13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vertical="top" wrapText="1"/>
    </xf>
    <xf numFmtId="0" fontId="24" fillId="0" borderId="0" xfId="0" applyFont="1" applyAlignment="1">
      <alignment wrapText="1"/>
    </xf>
    <xf numFmtId="0" fontId="25" fillId="0" borderId="0" xfId="0" applyFont="1"/>
    <xf numFmtId="0" fontId="15" fillId="3" borderId="2" xfId="0" applyFont="1" applyFill="1" applyBorder="1" applyAlignment="1">
      <alignment horizontal="left" vertical="center" wrapText="1"/>
    </xf>
    <xf numFmtId="0" fontId="0" fillId="0" borderId="4" xfId="0" applyBorder="1"/>
    <xf numFmtId="0" fontId="4" fillId="5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3" xfId="0" applyBorder="1"/>
    <xf numFmtId="0" fontId="3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A5276"/>
      <rgbColor rgb="FF339966"/>
      <rgbColor rgb="FF003300"/>
      <rgbColor rgb="FF333300"/>
      <rgbColor rgb="FF92400E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workbookViewId="0">
      <selection activeCell="B5" sqref="B5"/>
    </sheetView>
  </sheetViews>
  <sheetFormatPr defaultRowHeight="14.4" x14ac:dyDescent="0.3"/>
  <cols>
    <col min="1" max="1" width="3" customWidth="1"/>
    <col min="2" max="2" width="100" customWidth="1"/>
  </cols>
  <sheetData>
    <row r="2" spans="2:2" ht="23.4" x14ac:dyDescent="0.45">
      <c r="B2" s="43" t="s">
        <v>0</v>
      </c>
    </row>
    <row r="3" spans="2:2" x14ac:dyDescent="0.3">
      <c r="B3" s="44" t="s">
        <v>1</v>
      </c>
    </row>
    <row r="5" spans="2:2" ht="42" customHeight="1" x14ac:dyDescent="0.3">
      <c r="B5" s="45" t="s">
        <v>101</v>
      </c>
    </row>
    <row r="7" spans="2:2" x14ac:dyDescent="0.3">
      <c r="B7" s="46" t="s">
        <v>2</v>
      </c>
    </row>
    <row r="8" spans="2:2" ht="30" customHeight="1" x14ac:dyDescent="0.3">
      <c r="B8" s="47" t="s">
        <v>3</v>
      </c>
    </row>
    <row r="9" spans="2:2" ht="30" customHeight="1" x14ac:dyDescent="0.3">
      <c r="B9" s="47" t="s">
        <v>4</v>
      </c>
    </row>
    <row r="10" spans="2:2" ht="30" customHeight="1" x14ac:dyDescent="0.3">
      <c r="B10" s="47" t="s">
        <v>5</v>
      </c>
    </row>
    <row r="11" spans="2:2" ht="30" customHeight="1" x14ac:dyDescent="0.3">
      <c r="B11" s="47" t="s">
        <v>6</v>
      </c>
    </row>
    <row r="13" spans="2:2" x14ac:dyDescent="0.3">
      <c r="B13" s="46" t="s">
        <v>7</v>
      </c>
    </row>
    <row r="14" spans="2:2" ht="28.8" x14ac:dyDescent="0.3">
      <c r="B14" s="48" t="s">
        <v>8</v>
      </c>
    </row>
    <row r="16" spans="2:2" x14ac:dyDescent="0.3">
      <c r="B16" s="4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abSelected="1" zoomScaleNormal="100" workbookViewId="0">
      <pane ySplit="3" topLeftCell="A16" activePane="bottomLeft" state="frozen"/>
      <selection activeCell="B5" sqref="B5"/>
      <selection pane="bottomLeft" activeCell="J24" sqref="J24"/>
    </sheetView>
  </sheetViews>
  <sheetFormatPr defaultColWidth="8.6640625" defaultRowHeight="14.4" x14ac:dyDescent="0.3"/>
  <cols>
    <col min="1" max="1" width="32" customWidth="1"/>
    <col min="2" max="5" width="13" customWidth="1"/>
    <col min="6" max="6" width="2" customWidth="1"/>
    <col min="7" max="7" width="30" customWidth="1"/>
    <col min="8" max="8" width="16" customWidth="1"/>
  </cols>
  <sheetData>
    <row r="1" spans="1:8" ht="30" customHeight="1" x14ac:dyDescent="0.3">
      <c r="A1" s="54" t="s">
        <v>10</v>
      </c>
      <c r="B1" s="55"/>
      <c r="C1" s="55"/>
      <c r="D1" s="55"/>
      <c r="E1" s="55"/>
      <c r="F1" s="55"/>
      <c r="G1" s="55"/>
      <c r="H1" s="55"/>
    </row>
    <row r="2" spans="1:8" ht="15.75" customHeight="1" x14ac:dyDescent="0.3">
      <c r="A2" s="59" t="s">
        <v>11</v>
      </c>
      <c r="B2" s="55"/>
      <c r="C2" s="55"/>
      <c r="D2" s="55"/>
      <c r="E2" s="55"/>
      <c r="F2" s="55"/>
      <c r="G2" s="55"/>
      <c r="H2" s="55"/>
    </row>
    <row r="4" spans="1:8" ht="19.5" customHeight="1" x14ac:dyDescent="0.3">
      <c r="A4" s="56" t="s">
        <v>12</v>
      </c>
      <c r="B4" s="55"/>
      <c r="C4" s="55"/>
      <c r="D4" s="55"/>
      <c r="E4" s="51"/>
      <c r="G4" s="56" t="s">
        <v>13</v>
      </c>
      <c r="H4" s="51"/>
    </row>
    <row r="5" spans="1:8" ht="18" customHeight="1" x14ac:dyDescent="0.3">
      <c r="A5" s="5" t="s">
        <v>14</v>
      </c>
      <c r="B5" s="5" t="s">
        <v>101</v>
      </c>
      <c r="C5" s="5" t="s">
        <v>15</v>
      </c>
      <c r="D5" s="6" t="s">
        <v>16</v>
      </c>
      <c r="E5" s="5"/>
      <c r="G5" s="5" t="s">
        <v>17</v>
      </c>
      <c r="H5" s="5" t="s">
        <v>18</v>
      </c>
    </row>
    <row r="6" spans="1:8" ht="26.4" customHeight="1" x14ac:dyDescent="0.3">
      <c r="A6" s="7" t="s">
        <v>19</v>
      </c>
      <c r="B6" s="8">
        <v>6</v>
      </c>
      <c r="C6" s="4" t="s">
        <v>20</v>
      </c>
      <c r="D6" s="4" t="s">
        <v>21</v>
      </c>
      <c r="E6" s="4" t="s">
        <v>22</v>
      </c>
      <c r="G6" s="7" t="s">
        <v>23</v>
      </c>
      <c r="H6" s="9">
        <v>81000</v>
      </c>
    </row>
    <row r="7" spans="1:8" ht="26.4" customHeight="1" x14ac:dyDescent="0.3">
      <c r="A7" s="10" t="s">
        <v>24</v>
      </c>
      <c r="B7" s="8">
        <v>1</v>
      </c>
      <c r="C7" s="3" t="s">
        <v>20</v>
      </c>
      <c r="D7" s="3" t="s">
        <v>25</v>
      </c>
      <c r="E7" s="3" t="s">
        <v>26</v>
      </c>
      <c r="G7" s="10" t="s">
        <v>27</v>
      </c>
      <c r="H7" s="9">
        <v>28000</v>
      </c>
    </row>
    <row r="8" spans="1:8" ht="26.4" customHeight="1" x14ac:dyDescent="0.3">
      <c r="A8" s="7" t="s">
        <v>28</v>
      </c>
      <c r="B8" s="8">
        <v>1</v>
      </c>
      <c r="C8" s="4" t="s">
        <v>20</v>
      </c>
      <c r="D8" s="4" t="s">
        <v>29</v>
      </c>
      <c r="E8" s="4" t="s">
        <v>30</v>
      </c>
      <c r="G8" s="7" t="s">
        <v>31</v>
      </c>
      <c r="H8" s="9">
        <v>30000</v>
      </c>
    </row>
    <row r="9" spans="1:8" ht="26.4" customHeight="1" x14ac:dyDescent="0.3">
      <c r="A9" s="10" t="s">
        <v>32</v>
      </c>
      <c r="B9" s="8">
        <v>96</v>
      </c>
      <c r="C9" s="3" t="s">
        <v>20</v>
      </c>
      <c r="D9" s="3" t="s">
        <v>33</v>
      </c>
      <c r="E9" s="3" t="s">
        <v>34</v>
      </c>
      <c r="G9" s="10" t="s">
        <v>35</v>
      </c>
      <c r="H9" s="9">
        <v>18000</v>
      </c>
    </row>
    <row r="10" spans="1:8" ht="18" customHeight="1" x14ac:dyDescent="0.3">
      <c r="A10" s="5" t="s">
        <v>36</v>
      </c>
      <c r="B10" s="5" t="s">
        <v>37</v>
      </c>
      <c r="C10" s="5" t="s">
        <v>15</v>
      </c>
      <c r="D10" s="52" t="s">
        <v>38</v>
      </c>
      <c r="E10" s="51"/>
      <c r="G10" s="7" t="s">
        <v>39</v>
      </c>
      <c r="H10" s="9">
        <v>30000</v>
      </c>
    </row>
    <row r="11" spans="1:8" ht="15" customHeight="1" x14ac:dyDescent="0.3">
      <c r="A11" s="7" t="s">
        <v>40</v>
      </c>
      <c r="B11" s="11">
        <v>3.5</v>
      </c>
      <c r="C11" s="4" t="s">
        <v>41</v>
      </c>
      <c r="D11" s="57" t="s">
        <v>42</v>
      </c>
      <c r="E11" s="51"/>
      <c r="G11" s="10" t="s">
        <v>43</v>
      </c>
      <c r="H11" s="9">
        <v>2000</v>
      </c>
    </row>
    <row r="12" spans="1:8" ht="15" customHeight="1" x14ac:dyDescent="0.3">
      <c r="A12" s="10" t="s">
        <v>44</v>
      </c>
      <c r="B12" s="11">
        <v>7.5</v>
      </c>
      <c r="C12" s="3" t="s">
        <v>45</v>
      </c>
      <c r="D12" s="58" t="s">
        <v>46</v>
      </c>
      <c r="E12" s="51"/>
      <c r="G12" s="7" t="s">
        <v>47</v>
      </c>
      <c r="H12" s="9">
        <v>25000</v>
      </c>
    </row>
    <row r="13" spans="1:8" ht="23.85" customHeight="1" x14ac:dyDescent="0.3">
      <c r="A13" s="7" t="s">
        <v>48</v>
      </c>
      <c r="B13" s="8">
        <v>98</v>
      </c>
      <c r="C13" s="4" t="s">
        <v>49</v>
      </c>
      <c r="D13" s="57" t="s">
        <v>50</v>
      </c>
      <c r="E13" s="51"/>
      <c r="G13" s="42" t="s">
        <v>51</v>
      </c>
      <c r="H13" s="9">
        <v>50000</v>
      </c>
    </row>
    <row r="14" spans="1:8" x14ac:dyDescent="0.3">
      <c r="A14" s="12" t="s">
        <v>52</v>
      </c>
      <c r="B14" s="13">
        <f>ROUND((B11*B13)/B12,2)</f>
        <v>45.73</v>
      </c>
      <c r="C14" s="2" t="s">
        <v>53</v>
      </c>
      <c r="D14" s="61" t="s">
        <v>54</v>
      </c>
      <c r="E14" s="51"/>
      <c r="G14" s="10" t="s">
        <v>55</v>
      </c>
      <c r="H14" s="9">
        <v>10000</v>
      </c>
    </row>
    <row r="15" spans="1:8" ht="24" customHeight="1" x14ac:dyDescent="0.3">
      <c r="A15" s="10" t="s">
        <v>56</v>
      </c>
      <c r="B15" s="8">
        <v>65</v>
      </c>
      <c r="C15" s="3" t="s">
        <v>53</v>
      </c>
      <c r="D15" s="58" t="s">
        <v>57</v>
      </c>
      <c r="E15" s="51"/>
      <c r="G15" s="14" t="s">
        <v>58</v>
      </c>
      <c r="H15" s="15">
        <f>SUM(H6:H14)</f>
        <v>274000</v>
      </c>
    </row>
    <row r="16" spans="1:8" ht="19.5" customHeight="1" x14ac:dyDescent="0.3">
      <c r="A16" s="7" t="s">
        <v>59</v>
      </c>
      <c r="B16" s="8">
        <v>45</v>
      </c>
      <c r="C16" s="4" t="s">
        <v>53</v>
      </c>
      <c r="D16" s="57" t="s">
        <v>60</v>
      </c>
      <c r="E16" s="51"/>
    </row>
    <row r="17" spans="1:8" ht="18" customHeight="1" x14ac:dyDescent="0.3">
      <c r="A17" s="10" t="s">
        <v>61</v>
      </c>
      <c r="B17" s="8">
        <v>5</v>
      </c>
      <c r="C17" s="3" t="s">
        <v>53</v>
      </c>
      <c r="D17" s="58" t="s">
        <v>62</v>
      </c>
      <c r="E17" s="51"/>
      <c r="G17" s="56" t="s">
        <v>63</v>
      </c>
      <c r="H17" s="51"/>
    </row>
    <row r="18" spans="1:8" ht="19.5" customHeight="1" x14ac:dyDescent="0.3">
      <c r="A18" s="14" t="s">
        <v>64</v>
      </c>
      <c r="B18" s="16">
        <f>ROUND(B14+B15+B16+B17,2)</f>
        <v>160.72999999999999</v>
      </c>
      <c r="C18" s="14" t="s">
        <v>53</v>
      </c>
      <c r="D18" s="60" t="s">
        <v>65</v>
      </c>
      <c r="E18" s="51"/>
      <c r="G18" s="5" t="s">
        <v>66</v>
      </c>
      <c r="H18" s="5" t="s">
        <v>67</v>
      </c>
    </row>
    <row r="19" spans="1:8" x14ac:dyDescent="0.3">
      <c r="G19" s="7" t="s">
        <v>102</v>
      </c>
      <c r="H19" s="9">
        <v>54507</v>
      </c>
    </row>
    <row r="20" spans="1:8" ht="19.5" customHeight="1" x14ac:dyDescent="0.3">
      <c r="A20" s="56" t="s">
        <v>68</v>
      </c>
      <c r="B20" s="55"/>
      <c r="C20" s="55"/>
      <c r="D20" s="55"/>
      <c r="E20" s="51"/>
      <c r="G20" s="10" t="s">
        <v>103</v>
      </c>
      <c r="H20" s="9">
        <v>87110</v>
      </c>
    </row>
    <row r="21" spans="1:8" ht="18" customHeight="1" x14ac:dyDescent="0.3">
      <c r="A21" s="5" t="s">
        <v>69</v>
      </c>
      <c r="B21" s="5" t="s">
        <v>70</v>
      </c>
      <c r="C21" s="5" t="s">
        <v>71</v>
      </c>
      <c r="D21" s="5" t="s">
        <v>72</v>
      </c>
      <c r="E21" s="5" t="s">
        <v>73</v>
      </c>
      <c r="G21" s="7" t="s">
        <v>104</v>
      </c>
      <c r="H21" s="9">
        <v>16815</v>
      </c>
    </row>
    <row r="22" spans="1:8" x14ac:dyDescent="0.3">
      <c r="A22" s="7" t="s">
        <v>74</v>
      </c>
      <c r="B22" s="17">
        <f>ROUND(B6*200+B7*850+B8*1110+B9*1.3,2)</f>
        <v>3284.8</v>
      </c>
      <c r="C22" s="17">
        <f>ROUND(B6*260+B7*760+B8*1140+B9*1.4,2)</f>
        <v>3594.4</v>
      </c>
      <c r="D22" s="17">
        <f>ROUND(B6*300+B7*860+B8*1110+B9*1.6,2)</f>
        <v>3923.6</v>
      </c>
      <c r="E22" s="17">
        <f>ROUND(B6*320+B7*850+B8*1110+B9*1.7,2)</f>
        <v>4043.2</v>
      </c>
      <c r="G22" s="10" t="s">
        <v>105</v>
      </c>
      <c r="H22" s="9">
        <v>0</v>
      </c>
    </row>
    <row r="23" spans="1:8" x14ac:dyDescent="0.3">
      <c r="A23" s="10" t="s">
        <v>75</v>
      </c>
      <c r="B23" s="18">
        <f>B18</f>
        <v>160.72999999999999</v>
      </c>
      <c r="C23" s="18">
        <f>B18</f>
        <v>160.72999999999999</v>
      </c>
      <c r="D23" s="18">
        <f>B18</f>
        <v>160.72999999999999</v>
      </c>
      <c r="E23" s="18">
        <f>B18</f>
        <v>160.72999999999999</v>
      </c>
      <c r="G23" s="7" t="s">
        <v>106</v>
      </c>
      <c r="H23" s="9">
        <v>0</v>
      </c>
    </row>
    <row r="24" spans="1:8" ht="19.5" customHeight="1" x14ac:dyDescent="0.3">
      <c r="A24" s="7" t="s">
        <v>76</v>
      </c>
      <c r="B24" s="17">
        <f>$H$39</f>
        <v>1336.54</v>
      </c>
      <c r="C24" s="17">
        <f>$H$39</f>
        <v>1336.54</v>
      </c>
      <c r="D24" s="17">
        <f>$H$39</f>
        <v>1336.54</v>
      </c>
      <c r="E24" s="17">
        <f>$H$39</f>
        <v>1336.54</v>
      </c>
      <c r="G24" s="10" t="s">
        <v>107</v>
      </c>
      <c r="H24" s="9">
        <v>102185</v>
      </c>
    </row>
    <row r="25" spans="1:8" ht="21.75" customHeight="1" x14ac:dyDescent="0.3">
      <c r="A25" s="19" t="s">
        <v>77</v>
      </c>
      <c r="B25" s="21">
        <f>ROUND(B22+B23+B24,2)</f>
        <v>4782.07</v>
      </c>
      <c r="C25" s="21">
        <f>ROUND(C22+C23+C24,2)</f>
        <v>5091.67</v>
      </c>
      <c r="D25" s="21">
        <f>ROUND(D22+D23+D24,2)</f>
        <v>5420.87</v>
      </c>
      <c r="E25" s="21">
        <f>ROUND(E22+E23+E24,2)</f>
        <v>5540.47</v>
      </c>
      <c r="G25" s="19" t="s">
        <v>78</v>
      </c>
      <c r="H25" s="20">
        <f>SUM(H19:H24)</f>
        <v>260617</v>
      </c>
    </row>
    <row r="26" spans="1:8" ht="19.5" customHeight="1" x14ac:dyDescent="0.3"/>
    <row r="27" spans="1:8" ht="19.5" customHeight="1" x14ac:dyDescent="0.3">
      <c r="A27" s="56" t="s">
        <v>79</v>
      </c>
      <c r="B27" s="55"/>
      <c r="C27" s="55"/>
      <c r="D27" s="55"/>
      <c r="E27" s="51"/>
      <c r="G27" s="53" t="s">
        <v>80</v>
      </c>
      <c r="H27" s="51"/>
    </row>
    <row r="28" spans="1:8" ht="18" customHeight="1" x14ac:dyDescent="0.3">
      <c r="A28" s="5"/>
      <c r="B28" s="5" t="s">
        <v>70</v>
      </c>
      <c r="C28" s="5" t="s">
        <v>71</v>
      </c>
      <c r="D28" s="5" t="s">
        <v>72</v>
      </c>
      <c r="E28" s="5" t="s">
        <v>73</v>
      </c>
      <c r="G28" s="22" t="s">
        <v>81</v>
      </c>
      <c r="H28" s="9">
        <v>50000</v>
      </c>
    </row>
    <row r="29" spans="1:8" ht="19.5" customHeight="1" x14ac:dyDescent="0.3">
      <c r="A29" s="24" t="s">
        <v>82</v>
      </c>
      <c r="B29" s="25">
        <v>0.1</v>
      </c>
      <c r="C29" s="25">
        <v>0.1</v>
      </c>
      <c r="D29" s="25">
        <v>0.1</v>
      </c>
      <c r="E29" s="25">
        <v>0.1</v>
      </c>
      <c r="G29" s="22" t="s">
        <v>83</v>
      </c>
      <c r="H29" s="23">
        <v>30</v>
      </c>
    </row>
    <row r="30" spans="1:8" ht="24" customHeight="1" x14ac:dyDescent="0.3">
      <c r="A30" s="26" t="s">
        <v>84</v>
      </c>
      <c r="B30" s="27">
        <f>ROUND(B25*(1+B29),0)</f>
        <v>5260</v>
      </c>
      <c r="C30" s="27">
        <f>ROUND(C25*(1+C29),0)</f>
        <v>5601</v>
      </c>
      <c r="D30" s="27">
        <f>ROUND(D25*(1+D29),0)</f>
        <v>5963</v>
      </c>
      <c r="E30" s="27">
        <f>ROUND(E25*(1+E29),0)</f>
        <v>6095</v>
      </c>
      <c r="G30" s="22" t="s">
        <v>85</v>
      </c>
      <c r="H30" s="9">
        <v>10000</v>
      </c>
    </row>
    <row r="31" spans="1:8" x14ac:dyDescent="0.3">
      <c r="A31" s="28" t="s">
        <v>86</v>
      </c>
      <c r="B31" s="29">
        <f>ROUND(B30-B25,2)</f>
        <v>477.93</v>
      </c>
      <c r="C31" s="29">
        <f>ROUND(C30-C25,2)</f>
        <v>509.33</v>
      </c>
      <c r="D31" s="29">
        <f>ROUND(D30-D25,2)</f>
        <v>542.13</v>
      </c>
      <c r="E31" s="29">
        <f>ROUND(E30-E25,2)</f>
        <v>554.53</v>
      </c>
      <c r="G31" s="22" t="s">
        <v>87</v>
      </c>
      <c r="H31" s="23">
        <v>15</v>
      </c>
    </row>
    <row r="32" spans="1:8" ht="26.4" customHeight="1" x14ac:dyDescent="0.3">
      <c r="A32" s="1" t="s">
        <v>88</v>
      </c>
      <c r="B32" s="31">
        <f>ROUND(B31*$H$38/4,0)</f>
        <v>47793</v>
      </c>
      <c r="C32" s="31">
        <f>ROUND(C31*$H$38/4,0)</f>
        <v>50933</v>
      </c>
      <c r="D32" s="31">
        <f>ROUND(D31*$H$38/4,0)</f>
        <v>54213</v>
      </c>
      <c r="E32" s="31">
        <f>ROUND(E31*$H$38/4,0)</f>
        <v>55453</v>
      </c>
      <c r="G32" s="22" t="s">
        <v>89</v>
      </c>
      <c r="H32" s="30">
        <v>0.4</v>
      </c>
    </row>
    <row r="33" spans="1:8" ht="26.4" customHeight="1" x14ac:dyDescent="0.3">
      <c r="G33" s="2" t="s">
        <v>90</v>
      </c>
      <c r="H33" s="32">
        <f>ROUND(H31*H32*H30,0)</f>
        <v>60000</v>
      </c>
    </row>
    <row r="34" spans="1:8" ht="26.4" customHeight="1" x14ac:dyDescent="0.3">
      <c r="A34" s="35"/>
      <c r="B34" s="36"/>
      <c r="C34" s="36"/>
      <c r="D34" s="36"/>
      <c r="E34" s="37"/>
      <c r="G34" s="19" t="s">
        <v>91</v>
      </c>
      <c r="H34" s="20">
        <f>MAX(H28-H33,0)</f>
        <v>0</v>
      </c>
    </row>
    <row r="35" spans="1:8" ht="21.75" customHeight="1" x14ac:dyDescent="0.3">
      <c r="A35" s="38"/>
      <c r="B35" s="39"/>
      <c r="C35" s="40"/>
      <c r="D35" s="40"/>
      <c r="E35" s="41"/>
    </row>
    <row r="36" spans="1:8" ht="15" customHeight="1" x14ac:dyDescent="0.3">
      <c r="A36" s="38"/>
      <c r="B36" s="39"/>
      <c r="C36" s="40"/>
      <c r="D36" s="40"/>
      <c r="E36" s="41"/>
      <c r="G36" s="33" t="s">
        <v>92</v>
      </c>
      <c r="H36" s="34">
        <f>H15+H25</f>
        <v>534617</v>
      </c>
    </row>
    <row r="37" spans="1:8" ht="19.5" customHeight="1" x14ac:dyDescent="0.3">
      <c r="A37" s="38"/>
      <c r="B37" s="39"/>
      <c r="C37" s="40"/>
      <c r="D37" s="40"/>
      <c r="E37" s="41"/>
    </row>
    <row r="38" spans="1:8" ht="19.5" customHeight="1" x14ac:dyDescent="0.3">
      <c r="A38" s="38"/>
      <c r="B38" s="39"/>
      <c r="C38" s="40"/>
      <c r="D38" s="40"/>
      <c r="E38" s="41"/>
      <c r="G38" s="24" t="s">
        <v>93</v>
      </c>
      <c r="H38" s="23">
        <v>400</v>
      </c>
    </row>
    <row r="39" spans="1:8" ht="15" customHeight="1" x14ac:dyDescent="0.3">
      <c r="A39" s="38"/>
      <c r="B39" s="39"/>
      <c r="C39" s="40"/>
      <c r="D39" s="40"/>
      <c r="E39" s="41"/>
      <c r="G39" s="14" t="s">
        <v>94</v>
      </c>
      <c r="H39" s="16">
        <f>ROUND(H36/H38,2)</f>
        <v>1336.54</v>
      </c>
    </row>
    <row r="41" spans="1:8" ht="15" customHeight="1" x14ac:dyDescent="0.3">
      <c r="G41" s="52" t="s">
        <v>95</v>
      </c>
      <c r="H41" s="51"/>
    </row>
    <row r="42" spans="1:8" ht="22.35" customHeight="1" x14ac:dyDescent="0.3">
      <c r="G42" s="50" t="s">
        <v>96</v>
      </c>
      <c r="H42" s="51"/>
    </row>
    <row r="43" spans="1:8" ht="15" customHeight="1" x14ac:dyDescent="0.3">
      <c r="G43" s="50" t="s">
        <v>97</v>
      </c>
      <c r="H43" s="51"/>
    </row>
    <row r="44" spans="1:8" ht="15" customHeight="1" x14ac:dyDescent="0.3">
      <c r="G44" s="50" t="s">
        <v>98</v>
      </c>
      <c r="H44" s="51"/>
    </row>
    <row r="45" spans="1:8" ht="15" customHeight="1" x14ac:dyDescent="0.3">
      <c r="G45" s="50" t="s">
        <v>99</v>
      </c>
      <c r="H45" s="51"/>
    </row>
    <row r="46" spans="1:8" x14ac:dyDescent="0.3">
      <c r="G46" s="50" t="s">
        <v>100</v>
      </c>
      <c r="H46" s="51"/>
    </row>
  </sheetData>
  <mergeCells count="23">
    <mergeCell ref="G46:H46"/>
    <mergeCell ref="G44:H44"/>
    <mergeCell ref="G45:H45"/>
    <mergeCell ref="D18:E18"/>
    <mergeCell ref="D12:E12"/>
    <mergeCell ref="G4:H4"/>
    <mergeCell ref="A4:E4"/>
    <mergeCell ref="A20:E20"/>
    <mergeCell ref="D15:E15"/>
    <mergeCell ref="G41:H41"/>
    <mergeCell ref="D14:E14"/>
    <mergeCell ref="G43:H43"/>
    <mergeCell ref="D10:E10"/>
    <mergeCell ref="G42:H42"/>
    <mergeCell ref="G27:H27"/>
    <mergeCell ref="A1:H1"/>
    <mergeCell ref="G17:H17"/>
    <mergeCell ref="D11:E11"/>
    <mergeCell ref="D13:E13"/>
    <mergeCell ref="D17:E17"/>
    <mergeCell ref="A27:E27"/>
    <mergeCell ref="D16:E16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Pricing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Kiki .</cp:lastModifiedBy>
  <cp:revision>0</cp:revision>
  <dcterms:created xsi:type="dcterms:W3CDTF">2026-05-28T01:24:42Z</dcterms:created>
  <dcterms:modified xsi:type="dcterms:W3CDTF">2026-08-12T11:42:13Z</dcterms:modified>
  <dc:language>en-US</dc:language>
</cp:coreProperties>
</file>