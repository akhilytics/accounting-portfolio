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HILA NAYAK\Downloads\Resumes and job\git portfolio\"/>
    </mc:Choice>
  </mc:AlternateContent>
  <xr:revisionPtr revIDLastSave="0" documentId="13_ncr:1_{B6B20E24-E170-41B7-BC0C-BB301B344D3E}" xr6:coauthVersionLast="47" xr6:coauthVersionMax="47" xr10:uidLastSave="{00000000-0000-0000-0000-000000000000}"/>
  <bookViews>
    <workbookView xWindow="-108" yWindow="-108" windowWidth="23256" windowHeight="13176" tabRatio="500" xr2:uid="{00000000-000D-0000-FFFF-FFFF00000000}"/>
  </bookViews>
  <sheets>
    <sheet name="About" sheetId="1" r:id="rId1"/>
    <sheet name="Dashboard" sheetId="2" r:id="rId2"/>
    <sheet name="Inputs" sheetId="3" r:id="rId3"/>
    <sheet name="Mix Design" sheetId="4" r:id="rId4"/>
    <sheet name="Costing" sheetId="5" r:id="rId5"/>
    <sheet name="Scenarios" sheetId="6" r:id="rId6"/>
    <sheet name="Profitability" sheetId="7" r:id="rId7"/>
    <sheet name="working" sheetId="9" r:id="rId8"/>
  </sheets>
  <definedNames>
    <definedName name="_xlnm.Print_Area" localSheetId="1">Dashboard!$A$1:$M$52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3" i="9" l="1"/>
  <c r="H34" i="9" s="1"/>
  <c r="H25" i="9"/>
  <c r="E22" i="9"/>
  <c r="D22" i="9"/>
  <c r="C22" i="9"/>
  <c r="B22" i="9"/>
  <c r="H15" i="9"/>
  <c r="H36" i="9" s="1"/>
  <c r="H39" i="9" s="1"/>
  <c r="B14" i="9"/>
  <c r="B18" i="9" s="1"/>
  <c r="J13" i="7"/>
  <c r="C13" i="7"/>
  <c r="K6" i="2" s="1"/>
  <c r="J12" i="7"/>
  <c r="J11" i="7"/>
  <c r="J10" i="7"/>
  <c r="J9" i="7"/>
  <c r="J8" i="7"/>
  <c r="J7" i="7"/>
  <c r="J6" i="7"/>
  <c r="G12" i="5"/>
  <c r="F12" i="5"/>
  <c r="E12" i="5"/>
  <c r="D12" i="5"/>
  <c r="G11" i="5"/>
  <c r="F11" i="5"/>
  <c r="E11" i="5"/>
  <c r="D11" i="5"/>
  <c r="G10" i="5"/>
  <c r="F10" i="5"/>
  <c r="E10" i="5"/>
  <c r="D10" i="5"/>
  <c r="G9" i="5"/>
  <c r="F9" i="5"/>
  <c r="E9" i="5"/>
  <c r="D9" i="5"/>
  <c r="G8" i="5"/>
  <c r="F8" i="5"/>
  <c r="E8" i="5"/>
  <c r="D8" i="5"/>
  <c r="G7" i="5"/>
  <c r="F7" i="5"/>
  <c r="E7" i="5"/>
  <c r="D7" i="5"/>
  <c r="G6" i="5"/>
  <c r="F6" i="5"/>
  <c r="E6" i="5"/>
  <c r="D6" i="5"/>
  <c r="I12" i="4"/>
  <c r="C12" i="5" s="1"/>
  <c r="H12" i="5" s="1"/>
  <c r="I11" i="4"/>
  <c r="C11" i="5" s="1"/>
  <c r="H11" i="5" s="1"/>
  <c r="I10" i="4"/>
  <c r="C10" i="5" s="1"/>
  <c r="H10" i="5" s="1"/>
  <c r="I9" i="4"/>
  <c r="C9" i="5" s="1"/>
  <c r="H9" i="5" s="1"/>
  <c r="I8" i="4"/>
  <c r="C8" i="5" s="1"/>
  <c r="H8" i="5" s="1"/>
  <c r="I7" i="4"/>
  <c r="C7" i="5" s="1"/>
  <c r="H7" i="5" s="1"/>
  <c r="I6" i="4"/>
  <c r="C6" i="5" s="1"/>
  <c r="H6" i="5" s="1"/>
  <c r="C30" i="3"/>
  <c r="B34" i="2"/>
  <c r="G33" i="2"/>
  <c r="B33" i="2"/>
  <c r="G32" i="2"/>
  <c r="B32" i="2"/>
  <c r="G31" i="2"/>
  <c r="B31" i="2"/>
  <c r="G30" i="2"/>
  <c r="B30" i="2"/>
  <c r="G29" i="2"/>
  <c r="B29" i="2"/>
  <c r="B28" i="2"/>
  <c r="B22" i="2"/>
  <c r="B21" i="2"/>
  <c r="B20" i="2"/>
  <c r="B19" i="2"/>
  <c r="B18" i="2"/>
  <c r="B17" i="2"/>
  <c r="B16" i="2"/>
  <c r="B24" i="9" l="1"/>
  <c r="C24" i="9"/>
  <c r="D24" i="9"/>
  <c r="E24" i="9"/>
  <c r="B23" i="9"/>
  <c r="B25" i="9" s="1"/>
  <c r="B30" i="9" s="1"/>
  <c r="B31" i="9" s="1"/>
  <c r="B32" i="9" s="1"/>
  <c r="C23" i="9"/>
  <c r="C25" i="9" s="1"/>
  <c r="C30" i="9" s="1"/>
  <c r="C31" i="9" s="1"/>
  <c r="C32" i="9" s="1"/>
  <c r="D23" i="9"/>
  <c r="D25" i="9" s="1"/>
  <c r="D30" i="9" s="1"/>
  <c r="D31" i="9" s="1"/>
  <c r="D32" i="9" s="1"/>
  <c r="E23" i="9"/>
  <c r="E25" i="9" s="1"/>
  <c r="E30" i="9" s="1"/>
  <c r="E31" i="9" s="1"/>
  <c r="E32" i="9" s="1"/>
  <c r="F12" i="7"/>
  <c r="F11" i="7"/>
  <c r="F10" i="7"/>
  <c r="J9" i="5"/>
  <c r="C16" i="6"/>
  <c r="F9" i="7"/>
  <c r="J8" i="5"/>
  <c r="K8" i="5" s="1"/>
  <c r="F8" i="7"/>
  <c r="J7" i="5"/>
  <c r="K7" i="5" s="1"/>
  <c r="F7" i="7"/>
  <c r="J6" i="5"/>
  <c r="K6" i="5" s="1"/>
  <c r="F6" i="7"/>
  <c r="F13" i="7" s="1"/>
  <c r="H12" i="7"/>
  <c r="H11" i="7"/>
  <c r="H10" i="7"/>
  <c r="H9" i="7"/>
  <c r="H8" i="7"/>
  <c r="H7" i="7"/>
  <c r="D17" i="6"/>
  <c r="I12" i="5"/>
  <c r="J12" i="5" s="1"/>
  <c r="K12" i="5" s="1"/>
  <c r="H6" i="7"/>
  <c r="H13" i="7" s="1"/>
  <c r="E17" i="6"/>
  <c r="I11" i="5"/>
  <c r="J11" i="5" s="1"/>
  <c r="K11" i="5" s="1"/>
  <c r="I10" i="5"/>
  <c r="J10" i="5" s="1"/>
  <c r="K10" i="5" s="1"/>
  <c r="I9" i="5"/>
  <c r="I8" i="5"/>
  <c r="I7" i="5"/>
  <c r="I6" i="5"/>
  <c r="L12" i="5" l="1"/>
  <c r="M12" i="5"/>
  <c r="C34" i="2" s="1"/>
  <c r="N12" i="5"/>
  <c r="D12" i="7"/>
  <c r="E12" i="7" s="1"/>
  <c r="G12" i="7" s="1"/>
  <c r="I12" i="7" s="1"/>
  <c r="K12" i="7" s="1"/>
  <c r="L11" i="5"/>
  <c r="M11" i="5"/>
  <c r="C33" i="2" s="1"/>
  <c r="N11" i="5"/>
  <c r="D11" i="7"/>
  <c r="E11" i="7" s="1"/>
  <c r="G11" i="7" s="1"/>
  <c r="I11" i="7" s="1"/>
  <c r="K11" i="7" s="1"/>
  <c r="L10" i="5"/>
  <c r="M10" i="5"/>
  <c r="C32" i="2" s="1"/>
  <c r="N10" i="5"/>
  <c r="D10" i="7"/>
  <c r="E10" i="7" s="1"/>
  <c r="G10" i="7" s="1"/>
  <c r="I10" i="7" s="1"/>
  <c r="K10" i="7" s="1"/>
  <c r="K9" i="5"/>
  <c r="I17" i="2"/>
  <c r="I18" i="2"/>
  <c r="D16" i="6"/>
  <c r="D18" i="6" s="1"/>
  <c r="E16" i="6"/>
  <c r="E18" i="6" s="1"/>
  <c r="L8" i="5"/>
  <c r="M8" i="5"/>
  <c r="C30" i="2" s="1"/>
  <c r="N8" i="5"/>
  <c r="D8" i="7"/>
  <c r="E8" i="7" s="1"/>
  <c r="G8" i="7" s="1"/>
  <c r="I8" i="7" s="1"/>
  <c r="K8" i="7" s="1"/>
  <c r="L7" i="5"/>
  <c r="M7" i="5"/>
  <c r="C29" i="2" s="1"/>
  <c r="N7" i="5"/>
  <c r="D7" i="7"/>
  <c r="E7" i="7" s="1"/>
  <c r="G7" i="7" s="1"/>
  <c r="I7" i="7" s="1"/>
  <c r="K7" i="7" s="1"/>
  <c r="L6" i="5"/>
  <c r="M6" i="5"/>
  <c r="D6" i="7"/>
  <c r="E6" i="7" s="1"/>
  <c r="N6" i="5"/>
  <c r="C17" i="6"/>
  <c r="C18" i="6" s="1"/>
  <c r="G34" i="2"/>
  <c r="I19" i="2" s="1"/>
  <c r="L12" i="7" l="1"/>
  <c r="D22" i="2" s="1"/>
  <c r="C22" i="2"/>
  <c r="D34" i="2"/>
  <c r="L11" i="7"/>
  <c r="D21" i="2" s="1"/>
  <c r="D33" i="2"/>
  <c r="C21" i="2"/>
  <c r="L10" i="7"/>
  <c r="D20" i="2" s="1"/>
  <c r="C20" i="2"/>
  <c r="D32" i="2"/>
  <c r="L9" i="5"/>
  <c r="M9" i="5"/>
  <c r="I15" i="2" s="1"/>
  <c r="N9" i="5"/>
  <c r="C19" i="6"/>
  <c r="D9" i="7"/>
  <c r="E9" i="7" s="1"/>
  <c r="L8" i="7"/>
  <c r="D18" i="2" s="1"/>
  <c r="C18" i="2"/>
  <c r="D30" i="2"/>
  <c r="L7" i="7"/>
  <c r="D17" i="2" s="1"/>
  <c r="D29" i="2"/>
  <c r="C17" i="2"/>
  <c r="C28" i="2"/>
  <c r="G6" i="7"/>
  <c r="I16" i="2" l="1"/>
  <c r="C31" i="2"/>
  <c r="E19" i="6"/>
  <c r="C20" i="6"/>
  <c r="D19" i="6"/>
  <c r="C21" i="6"/>
  <c r="G23" i="2" s="1"/>
  <c r="I6" i="7"/>
  <c r="G13" i="7"/>
  <c r="G9" i="7"/>
  <c r="I9" i="7" s="1"/>
  <c r="K9" i="7" s="1"/>
  <c r="E13" i="7"/>
  <c r="B6" i="2" s="1"/>
  <c r="E20" i="6" l="1"/>
  <c r="E21" i="6"/>
  <c r="G25" i="2" s="1"/>
  <c r="D20" i="6"/>
  <c r="D21" i="6"/>
  <c r="G24" i="2" s="1"/>
  <c r="K6" i="7"/>
  <c r="I13" i="7"/>
  <c r="D31" i="2"/>
  <c r="C19" i="2"/>
  <c r="L9" i="7"/>
  <c r="D19" i="2" s="1"/>
  <c r="L6" i="7" l="1"/>
  <c r="D16" i="2" s="1"/>
  <c r="K13" i="7"/>
  <c r="C24" i="2"/>
  <c r="D28" i="2"/>
  <c r="C16" i="2"/>
  <c r="L13" i="7" l="1"/>
  <c r="H6" i="2" s="1"/>
  <c r="E6" i="2"/>
</calcChain>
</file>

<file path=xl/sharedStrings.xml><?xml version="1.0" encoding="utf-8"?>
<sst xmlns="http://schemas.openxmlformats.org/spreadsheetml/2006/main" count="280" uniqueCount="220">
  <si>
    <t>RMC Costing, Pricing &amp; Profitability Model</t>
  </si>
  <si>
    <t>A commercial-finance decision model for a ready-mix concrete operation.</t>
  </si>
  <si>
    <t>⚠  ILLUSTRATIVE / SAMPLE DATA — built to demonstrate methodology. All rates and figures are fictional and do not represent any real company or client.</t>
  </si>
  <si>
    <t>WHAT THIS MODEL DOES</t>
  </si>
  <si>
    <t>SKILLS DEMONSTRATED</t>
  </si>
  <si>
    <t>Cost accounting · Marginal costing &amp; contribution analysis · Break-even &amp; CVP · Cost-plus pricing · Margin vs markup analysis · Sensitivity / scenario modelling · Product-line profitability · Advanced Excel (cross-sheet formulas, INDEX/MATCH, charts) · Management accounting</t>
  </si>
  <si>
    <t>Built by Akhila Nayak  ·  Accountant  ·  R2R, MIS &amp; Cost Analysis</t>
  </si>
  <si>
    <t>RMC Costing, Pricing &amp; Profitability Dashboard</t>
  </si>
  <si>
    <t>Ready-Mix Concrete · 7 grades (M10–M40) · 4,000 CBM/month · Illustrative data (INR)</t>
  </si>
  <si>
    <t>MONTHLY REVENUE</t>
  </si>
  <si>
    <t>MONTHLY PBT</t>
  </si>
  <si>
    <t>BLENDED MARGIN</t>
  </si>
  <si>
    <t>TOTAL VOLUME</t>
  </si>
  <si>
    <t>MOST PROFITABLE GRADE (by monthly PBT)</t>
  </si>
  <si>
    <t>MANAGEMENT QUESTIONS</t>
  </si>
  <si>
    <t>Grade</t>
  </si>
  <si>
    <t>PBT (₹)</t>
  </si>
  <si>
    <t>Margin %</t>
  </si>
  <si>
    <t>Best contribution/CBM grade</t>
  </si>
  <si>
    <t>Break-even volume — M25 equiv (CBM)</t>
  </si>
  <si>
    <t>M25 price for 10% gross margin</t>
  </si>
  <si>
    <t>Cement +10% → M25 cost/CBM</t>
  </si>
  <si>
    <t>Largest M25 cost component</t>
  </si>
  <si>
    <t>SCENARIO — M25 MARGIN</t>
  </si>
  <si>
    <t>Base</t>
  </si>
  <si>
    <t>Highest total PBT:</t>
  </si>
  <si>
    <t>Downside</t>
  </si>
  <si>
    <t>Upside</t>
  </si>
  <si>
    <t>(chart data)</t>
  </si>
  <si>
    <t>Cost Split M25</t>
  </si>
  <si>
    <t>Cement</t>
  </si>
  <si>
    <t>Sand</t>
  </si>
  <si>
    <t>Aggregate</t>
  </si>
  <si>
    <t>Diesel+Transport</t>
  </si>
  <si>
    <t>Elec+Labour+Repairs</t>
  </si>
  <si>
    <t>Fixed (plant/admin)</t>
  </si>
  <si>
    <t>Input Data — Rates &amp; Assumptions</t>
  </si>
  <si>
    <t>All blue cells are inputs. Every downstream calculation references this sheet.</t>
  </si>
  <si>
    <t>Material Rates</t>
  </si>
  <si>
    <t>Material</t>
  </si>
  <si>
    <t>Unit</t>
  </si>
  <si>
    <t>Rate (₹)</t>
  </si>
  <si>
    <t>per kg</t>
  </si>
  <si>
    <t>Aggregate (20mm)</t>
  </si>
  <si>
    <t>Aggregate (10mm)</t>
  </si>
  <si>
    <t>Admixture</t>
  </si>
  <si>
    <t>Water</t>
  </si>
  <si>
    <t>per litre</t>
  </si>
  <si>
    <t>Operating &amp; Overhead Rates (per CBM unless noted)</t>
  </si>
  <si>
    <t>Cost Item</t>
  </si>
  <si>
    <t>Basis</t>
  </si>
  <si>
    <t>Diesel</t>
  </si>
  <si>
    <t>per CBM (batching+transport)</t>
  </si>
  <si>
    <t>Electricity</t>
  </si>
  <si>
    <t>per CBM</t>
  </si>
  <si>
    <t>Direct Labour</t>
  </si>
  <si>
    <t>Transport</t>
  </si>
  <si>
    <t>Pumping</t>
  </si>
  <si>
    <t>per CBM (when pumped)</t>
  </si>
  <si>
    <t>Repairs &amp; Maintenance</t>
  </si>
  <si>
    <t>Monthly Fixed / Semi-Fixed Costs (₹)</t>
  </si>
  <si>
    <t>Fixed Cost</t>
  </si>
  <si>
    <t>Amount/Month (₹)</t>
  </si>
  <si>
    <t>Plant Rent / Depreciation</t>
  </si>
  <si>
    <t>Admin &amp; Salaries</t>
  </si>
  <si>
    <t>Interest on Capital</t>
  </si>
  <si>
    <t>Insurance &amp; Misc</t>
  </si>
  <si>
    <t>Total Monthly Fixed Cost</t>
  </si>
  <si>
    <t>Key Assumptions</t>
  </si>
  <si>
    <t>Monthly Volume (CBM)</t>
  </si>
  <si>
    <t>Target Markup on Cost (%)</t>
  </si>
  <si>
    <t>Pumped Volume (% of total)</t>
  </si>
  <si>
    <t>Mix Design — Material Quantity per CBM by Grade</t>
  </si>
  <si>
    <t>Quantities (kg/CBM) per grade. Material cost = qty × rate (from Inputs).</t>
  </si>
  <si>
    <t>Cement (kg)</t>
  </si>
  <si>
    <t>Sand (kg)</t>
  </si>
  <si>
    <t>Agg 20mm (kg)</t>
  </si>
  <si>
    <t>Agg 10mm (kg)</t>
  </si>
  <si>
    <t>Admixture (kg)</t>
  </si>
  <si>
    <t>Water (l)</t>
  </si>
  <si>
    <t>Material Cost/CBM (₹)</t>
  </si>
  <si>
    <t>M10</t>
  </si>
  <si>
    <t>M15</t>
  </si>
  <si>
    <t>M20</t>
  </si>
  <si>
    <t>M25</t>
  </si>
  <si>
    <t>M30</t>
  </si>
  <si>
    <t>M35</t>
  </si>
  <si>
    <t>M40</t>
  </si>
  <si>
    <t>Costing Engine — Variable &amp; Fixed Cost per CBM</t>
  </si>
  <si>
    <t>Volume-driven costs (material, diesel, transport, pumping, electricity, labour, repairs) are treated as variable. Only plant, admin and insurance are fixed; interest sits below EBITDA.</t>
  </si>
  <si>
    <t>Material Cost/CBM</t>
  </si>
  <si>
    <t>Diesel/CBM</t>
  </si>
  <si>
    <t>Transport/CBM</t>
  </si>
  <si>
    <t>Pumping/CBM (alloc)</t>
  </si>
  <si>
    <t>Elec+Labour+Repairs/CBM</t>
  </si>
  <si>
    <t>Variable Cost/CBM</t>
  </si>
  <si>
    <t>Fixed Cost/CBM</t>
  </si>
  <si>
    <t>Total Cost/CBM</t>
  </si>
  <si>
    <t>Selling Price/CBM</t>
  </si>
  <si>
    <t>Markup %</t>
  </si>
  <si>
    <t>Contribution/CBM</t>
  </si>
  <si>
    <t>Gross Margin %</t>
  </si>
  <si>
    <t>Pricing Scenarios — Sensitivity Analysis</t>
  </si>
  <si>
    <t>Change the blue shock inputs to test cost, price and volume sensitivity. Base, Downside and Upside update automatically (M25 as reference grade).</t>
  </si>
  <si>
    <t>Scenario Shock Inputs</t>
  </si>
  <si>
    <t>Shock</t>
  </si>
  <si>
    <t>Applied %</t>
  </si>
  <si>
    <t>Cement price change %</t>
  </si>
  <si>
    <t>Diesel price change %</t>
  </si>
  <si>
    <t>Transport change %</t>
  </si>
  <si>
    <t>Selling price change %</t>
  </si>
  <si>
    <t>Volume change %</t>
  </si>
  <si>
    <t>M25 Sensitivity — Impact per CBM</t>
  </si>
  <si>
    <t>Metric</t>
  </si>
  <si>
    <t>Base Case</t>
  </si>
  <si>
    <t>Profitability by Grade (Monthly)</t>
  </si>
  <si>
    <t>Uses an illustrative monthly sales mix totalling 4,000 CBM. Revenue → Contribution → EBITDA → PBT. Volume mix is an assumption — change it to test product-mix profitability.</t>
  </si>
  <si>
    <t>Volume (CBM)</t>
  </si>
  <si>
    <t>Price/CBM</t>
  </si>
  <si>
    <t>Revenue</t>
  </si>
  <si>
    <t>Variable Cost</t>
  </si>
  <si>
    <t>Contribution</t>
  </si>
  <si>
    <t>EBITDA</t>
  </si>
  <si>
    <t>Interest</t>
  </si>
  <si>
    <t>PBT</t>
  </si>
  <si>
    <t>TOTAL</t>
  </si>
  <si>
    <t>•  Inputs all the rates in one place (materials, diesel, electricity, labour, transport, pumping, repairs) plus monthly fixed costs. Change an input and the whole model updates.</t>
  </si>
  <si>
    <t>•  Mix Design material quantity per CBM for each grade (M10–M40); material cost = qty × rate.</t>
  </si>
  <si>
    <t>•  Costing splits variable vs fixed/semi-fixed cost, then works out cost/CBM, markup, selling price, contribution and gross margin per grade.</t>
  </si>
  <si>
    <t>•  Scenarios shock inputs (cement +10%, diesel +10%, transport +15%, price −5%, volume −20%) driving Base / Downside / Upside on the M25 reference grade.</t>
  </si>
  <si>
    <t>•  Profitability grade-wise monthly P&amp;L: Revenue → Variable → Contribution → Fixed → EBITDA → Interest → PBT → margin %.</t>
  </si>
  <si>
    <t>•  Dashboard answers key management questions: most profitable grade, break-even volume, required price for a target gross margin, cement-cost sensitivity, major cost drivers, and scenario range.</t>
  </si>
  <si>
    <t xml:space="preserve">  RMC PRICE CALCULATOR  ·  Per Cubic Meter (CBM)</t>
  </si>
  <si>
    <t xml:space="preserve">  ⚡  Blue = Change these inputs   |   Black = Auto-calculated   |   Green = Final selling price</t>
  </si>
  <si>
    <t>SECTION 1  ·  VARIABLE COST INPUTS</t>
  </si>
  <si>
    <t>SECTION 3A  ·  FIXED COSTS (Monthly)</t>
  </si>
  <si>
    <t>⚠  ILLUSTRATIVE / SAMPLE DATA  built to demonstrate methodology. All names, figures and values are fictional and do not represent any real company or client.</t>
  </si>
  <si>
    <t>Qty/CBM ref</t>
  </si>
  <si>
    <t>Monthly (₹)</t>
  </si>
  <si>
    <t>₹/Kg</t>
  </si>
  <si>
    <t>M10:200  M15:260</t>
  </si>
  <si>
    <t>M20:300  M25:320</t>
  </si>
  <si>
    <t>Driver Salary (×3 drivers)</t>
  </si>
  <si>
    <t>M10:850  M15:760</t>
  </si>
  <si>
    <t>M20:860  M25:850</t>
  </si>
  <si>
    <t>Plant Operator</t>
  </si>
  <si>
    <t>Jelly</t>
  </si>
  <si>
    <t>M10:1110  M15:1140</t>
  </si>
  <si>
    <t>M20:1110  M25:1110</t>
  </si>
  <si>
    <t>Plant Incharge</t>
  </si>
  <si>
    <t>M10:1.3  M15:1.4</t>
  </si>
  <si>
    <t>M20:1.6  M25:1.7</t>
  </si>
  <si>
    <t>Plant Helper</t>
  </si>
  <si>
    <t>Variable Cost Item</t>
  </si>
  <si>
    <t>Value</t>
  </si>
  <si>
    <t>Note</t>
  </si>
  <si>
    <t>Rent for Plant</t>
  </si>
  <si>
    <t>Diesel per Load (Generator)</t>
  </si>
  <si>
    <t>Litres</t>
  </si>
  <si>
    <t>Per 7.5 CBM load</t>
  </si>
  <si>
    <t>Electricity (Fixed)</t>
  </si>
  <si>
    <t>CBM per Load (Transit Mixer)</t>
  </si>
  <si>
    <t>CBM</t>
  </si>
  <si>
    <t>Standard TM capacity</t>
  </si>
  <si>
    <t>Diesel Price</t>
  </si>
  <si>
    <t>₹/Litre</t>
  </si>
  <si>
    <t>Update when fuel prices change</t>
  </si>
  <si>
    <t>Pump (Fixed)</t>
  </si>
  <si>
    <t xml:space="preserve">  → Diesel Cost per CBM</t>
  </si>
  <si>
    <t>₹/CBM</t>
  </si>
  <si>
    <t>Auto-calculated</t>
  </si>
  <si>
    <t>Contingency (~5%)</t>
  </si>
  <si>
    <t>TM Transport Charge</t>
  </si>
  <si>
    <t>Internal — plant to site &amp; back</t>
  </si>
  <si>
    <t>Fixed Cost (excl. EMIs)</t>
  </si>
  <si>
    <t>JCB Material Handling</t>
  </si>
  <si>
    <t>Loading materials into plant</t>
  </si>
  <si>
    <t>Electricity (Variable)</t>
  </si>
  <si>
    <t>Variable portion of bill</t>
  </si>
  <si>
    <t>SECTION 3B  ·  LOAN EMIs (Monthly)</t>
  </si>
  <si>
    <t>TOTAL OTHER VARIABLE COST</t>
  </si>
  <si>
    <t>Same across all grades</t>
  </si>
  <si>
    <t>Loan</t>
  </si>
  <si>
    <t>EMI (₹/month)</t>
  </si>
  <si>
    <t xml:space="preserve">Pump Loan </t>
  </si>
  <si>
    <t>SECTION 2  ·  TOTAL COST SUMMARY  (₹ per CBM)</t>
  </si>
  <si>
    <t xml:space="preserve">Mixer Loan </t>
  </si>
  <si>
    <t>Cost Component</t>
  </si>
  <si>
    <t xml:space="preserve">Generator Loan </t>
  </si>
  <si>
    <t>Raw Material Cost (₹/CBM)</t>
  </si>
  <si>
    <t xml:space="preserve">JCB Loan </t>
  </si>
  <si>
    <t>Other Variable Cost (₹/CBM)</t>
  </si>
  <si>
    <t>TM I Loan</t>
  </si>
  <si>
    <t>Fixed Cost per CBM  (from right →)</t>
  </si>
  <si>
    <t xml:space="preserve">TM II Loan </t>
  </si>
  <si>
    <t>TOTAL COST (₹/CBM)</t>
  </si>
  <si>
    <t>Total EMIs</t>
  </si>
  <si>
    <t>SECTION 3  ·  SELLING PRICE</t>
  </si>
  <si>
    <t>SECTION 3C  ·  PUMP COST (Monthly)</t>
  </si>
  <si>
    <t>Pump Monthly Fixed Cost</t>
  </si>
  <si>
    <t>Target Profit Margin (%)</t>
  </si>
  <si>
    <t>Pump Charge Threshold</t>
  </si>
  <si>
    <t>SELLING PRICE (₹/CBM)</t>
  </si>
  <si>
    <t>Small-Order Pump Charge</t>
  </si>
  <si>
    <t>Profit per CBM (₹)</t>
  </si>
  <si>
    <t>Est. Pump Orders/Month</t>
  </si>
  <si>
    <t>Est. Monthly Profit (÷4 grades equally)</t>
  </si>
  <si>
    <t>% of Pump Orders &lt; Threshold</t>
  </si>
  <si>
    <t xml:space="preserve">  → Monthly Recovery from Small Orders</t>
  </si>
  <si>
    <t xml:space="preserve">  → Net Pump Cost (after recovery)</t>
  </si>
  <si>
    <t>TOTAL FIXED COST (Monthly)</t>
  </si>
  <si>
    <t>Expected Monthly Volume</t>
  </si>
  <si>
    <t xml:space="preserve">  → Fixed Cost per CBM</t>
  </si>
  <si>
    <t>HOW THE PUMP WORKS</t>
  </si>
  <si>
    <t>₹50k/month covers pump labour, diesel &amp; transit.</t>
  </si>
  <si>
    <t>Small orders (&lt;30 CBM): client pays ₹10k → partial recovery.</t>
  </si>
  <si>
    <t>Large orders (≥30 CBM): pump is free to client.</t>
  </si>
  <si>
    <t>Net pump cost is absorbed into your fixed cost per CBM.</t>
  </si>
  <si>
    <t>Adjust estimates after 1–2 months of real data.</t>
  </si>
  <si>
    <r>
      <t>Declaration of AI Assistance:</t>
    </r>
    <r>
      <rPr>
        <sz val="11"/>
        <color rgb="FFFF0000"/>
        <rFont val="Calibri"/>
        <family val="2"/>
        <charset val="1"/>
      </rPr>
      <t xml:space="preserve"> All data modeling, functions, and analytical logic within these Excel projects were developed independently. Generative AI tools (ChatGPT and Gemini) were utilized solely to enhance syntax, tone, and readability of textual elements.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</si>
</sst>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quot;(₹&quot;#,##0\);\-"/>
    <numFmt numFmtId="165" formatCode="0.0%"/>
    <numFmt numFmtId="166" formatCode="\₹#,##0.00;&quot;(₹&quot;#,##0.00\);\-"/>
    <numFmt numFmtId="167" formatCode="\₹#,##0.00"/>
    <numFmt numFmtId="168" formatCode="\₹#,##0"/>
    <numFmt numFmtId="169" formatCode="#,##0.0"/>
  </numFmts>
  <fonts count="44" x14ac:knownFonts="1">
    <font>
      <sz val="11"/>
      <color theme="1"/>
      <name val="Calibri"/>
      <family val="2"/>
      <charset val="1"/>
    </font>
    <font>
      <b/>
      <sz val="18"/>
      <color rgb="FF1E2140"/>
      <name val="Calibri"/>
      <charset val="1"/>
    </font>
    <font>
      <i/>
      <sz val="11"/>
      <color rgb="FF4C5BD4"/>
      <name val="Calibri"/>
      <charset val="1"/>
    </font>
    <font>
      <b/>
      <sz val="10"/>
      <color rgb="FF8A5A00"/>
      <name val="Calibri"/>
      <charset val="1"/>
    </font>
    <font>
      <b/>
      <sz val="11"/>
      <color rgb="FF4C5BD4"/>
      <name val="Calibri"/>
      <charset val="1"/>
    </font>
    <font>
      <sz val="10"/>
      <color rgb="FF20222E"/>
      <name val="Calibri"/>
      <charset val="1"/>
    </font>
    <font>
      <i/>
      <sz val="10"/>
      <color rgb="FF6B7280"/>
      <name val="Calibri"/>
      <charset val="1"/>
    </font>
    <font>
      <b/>
      <sz val="19"/>
      <color rgb="FF1E2140"/>
      <name val="Calibri"/>
      <charset val="1"/>
    </font>
    <font>
      <i/>
      <sz val="10"/>
      <color rgb="FF4C5BD4"/>
      <name val="Calibri"/>
      <charset val="1"/>
    </font>
    <font>
      <sz val="9"/>
      <color rgb="FFFFFFFF"/>
      <name val="Calibri"/>
      <charset val="1"/>
    </font>
    <font>
      <b/>
      <sz val="15"/>
      <color rgb="FFFFFFFF"/>
      <name val="Calibri"/>
      <charset val="1"/>
    </font>
    <font>
      <b/>
      <sz val="11"/>
      <color rgb="FF1E2140"/>
      <name val="Calibri"/>
      <charset val="1"/>
    </font>
    <font>
      <b/>
      <sz val="9"/>
      <color rgb="FFFFFFFF"/>
      <name val="Calibri"/>
      <charset val="1"/>
    </font>
    <font>
      <sz val="9"/>
      <color rgb="FF20222E"/>
      <name val="Calibri"/>
      <charset val="1"/>
    </font>
    <font>
      <i/>
      <sz val="8"/>
      <color rgb="FF0CA678"/>
      <name val="Calibri"/>
      <charset val="1"/>
    </font>
    <font>
      <b/>
      <i/>
      <sz val="8"/>
      <color rgb="FF0CA678"/>
      <name val="Calibri"/>
      <charset val="1"/>
    </font>
    <font>
      <sz val="8"/>
      <color rgb="FFFFFFFF"/>
      <name val="Calibri"/>
      <charset val="1"/>
    </font>
    <font>
      <sz val="8"/>
      <color rgb="FF6B7280"/>
      <name val="Calibri"/>
      <charset val="1"/>
    </font>
    <font>
      <b/>
      <sz val="15"/>
      <color rgb="FF1E2140"/>
      <name val="Calibri"/>
      <charset val="1"/>
    </font>
    <font>
      <i/>
      <sz val="9"/>
      <color rgb="FF6B7280"/>
      <name val="Calibri"/>
      <charset val="1"/>
    </font>
    <font>
      <b/>
      <sz val="12"/>
      <color rgb="FF4C5BD4"/>
      <name val="Calibri"/>
      <charset val="1"/>
    </font>
    <font>
      <sz val="9"/>
      <color rgb="FF0000FF"/>
      <name val="Calibri"/>
      <charset val="1"/>
    </font>
    <font>
      <b/>
      <sz val="9"/>
      <color rgb="FF20222E"/>
      <name val="Calibri"/>
      <charset val="1"/>
    </font>
    <font>
      <b/>
      <sz val="13"/>
      <color rgb="FFFFFFFF"/>
      <name val="Arial"/>
      <charset val="1"/>
    </font>
    <font>
      <i/>
      <sz val="10"/>
      <color rgb="FF0000FF"/>
      <name val="Arial"/>
      <charset val="1"/>
    </font>
    <font>
      <b/>
      <sz val="11"/>
      <color rgb="FFFFFFFF"/>
      <name val="Arial"/>
      <charset val="1"/>
    </font>
    <font>
      <b/>
      <sz val="10"/>
      <color rgb="FFFFFFFF"/>
      <name val="Arial"/>
      <charset val="1"/>
    </font>
    <font>
      <b/>
      <sz val="10"/>
      <color rgb="FF000000"/>
      <name val="Arial"/>
      <charset val="1"/>
    </font>
    <font>
      <b/>
      <sz val="10"/>
      <color rgb="FF0000FF"/>
      <name val="Arial"/>
      <charset val="1"/>
    </font>
    <font>
      <i/>
      <sz val="10"/>
      <color rgb="FF595959"/>
      <name val="Arial"/>
      <charset val="1"/>
    </font>
    <font>
      <b/>
      <sz val="10"/>
      <color rgb="FF000000"/>
      <name val="Arial"/>
      <family val="2"/>
    </font>
    <font>
      <i/>
      <sz val="10"/>
      <color rgb="FF000000"/>
      <name val="Arial"/>
      <charset val="1"/>
    </font>
    <font>
      <sz val="10"/>
      <color rgb="FF000000"/>
      <name val="Arial"/>
      <charset val="1"/>
    </font>
    <font>
      <b/>
      <sz val="10"/>
      <color rgb="FF375623"/>
      <name val="Arial"/>
      <charset val="1"/>
    </font>
    <font>
      <b/>
      <sz val="10"/>
      <color rgb="FFC55A11"/>
      <name val="Arial"/>
      <charset val="1"/>
    </font>
    <font>
      <b/>
      <sz val="11"/>
      <color rgb="FF375623"/>
      <name val="Arial"/>
      <charset val="1"/>
    </font>
    <font>
      <sz val="10"/>
      <color rgb="FF375623"/>
      <name val="Arial"/>
      <charset val="1"/>
    </font>
    <font>
      <sz val="10"/>
      <color rgb="FF595959"/>
      <name val="Arial"/>
      <charset val="1"/>
    </font>
    <font>
      <sz val="10"/>
      <color rgb="FFFFFFFF"/>
      <name val="Arial"/>
      <family val="2"/>
    </font>
    <font>
      <sz val="10"/>
      <color rgb="FF000000"/>
      <name val="Arial"/>
      <family val="2"/>
    </font>
    <font>
      <sz val="10"/>
      <name val="Arial"/>
      <family val="2"/>
    </font>
    <font>
      <i/>
      <sz val="9"/>
      <color rgb="FF595959"/>
      <name val="Arial"/>
      <charset val="1"/>
    </font>
    <font>
      <b/>
      <sz val="11"/>
      <color rgb="FFFF0000"/>
      <name val="Calibri"/>
      <family val="2"/>
      <charset val="1"/>
    </font>
    <font>
      <sz val="11"/>
      <color rgb="FFFF0000"/>
      <name val="Calibri"/>
      <family val="2"/>
      <charset val="1"/>
    </font>
  </fonts>
  <fills count="26">
    <fill>
      <patternFill patternType="none"/>
    </fill>
    <fill>
      <patternFill patternType="gray125"/>
    </fill>
    <fill>
      <patternFill patternType="solid">
        <fgColor rgb="FFFFF4E5"/>
        <bgColor rgb="FFFDF3DC"/>
      </patternFill>
    </fill>
    <fill>
      <patternFill patternType="solid">
        <fgColor rgb="FF4C5BD4"/>
        <bgColor rgb="FF6741D9"/>
      </patternFill>
    </fill>
    <fill>
      <patternFill patternType="solid">
        <fgColor rgb="FF0CA678"/>
        <bgColor rgb="FF008080"/>
      </patternFill>
    </fill>
    <fill>
      <patternFill patternType="solid">
        <fgColor rgb="FFD6336C"/>
        <bgColor rgb="FF993366"/>
      </patternFill>
    </fill>
    <fill>
      <patternFill patternType="solid">
        <fgColor rgb="FF6741D9"/>
        <bgColor rgb="FF4C5BD4"/>
      </patternFill>
    </fill>
    <fill>
      <patternFill patternType="solid">
        <fgColor rgb="FF1E2140"/>
        <bgColor rgb="FF20222E"/>
      </patternFill>
    </fill>
    <fill>
      <patternFill patternType="solid">
        <fgColor rgb="FFE4E7FB"/>
        <bgColor rgb="FFDDF5EC"/>
      </patternFill>
    </fill>
    <fill>
      <patternFill patternType="solid">
        <fgColor rgb="FFFFFFFF"/>
        <bgColor rgb="FFF9F9F9"/>
      </patternFill>
    </fill>
    <fill>
      <patternFill patternType="solid">
        <fgColor rgb="FFDDF5EC"/>
        <bgColor rgb="FFE4E7FB"/>
      </patternFill>
    </fill>
    <fill>
      <patternFill patternType="solid">
        <fgColor rgb="FFFBE4EC"/>
        <bgColor rgb="FFFFF4E5"/>
      </patternFill>
    </fill>
    <fill>
      <patternFill patternType="solid">
        <fgColor rgb="FFFDF3DC"/>
        <bgColor rgb="FFFFF4E5"/>
      </patternFill>
    </fill>
    <fill>
      <patternFill patternType="solid">
        <fgColor rgb="FFF3F4FB"/>
        <bgColor rgb="FFF9F9F9"/>
      </patternFill>
    </fill>
    <fill>
      <patternFill patternType="solid">
        <fgColor rgb="FF1F4E79"/>
        <bgColor rgb="FF1A5276"/>
      </patternFill>
    </fill>
    <fill>
      <patternFill patternType="solid">
        <fgColor rgb="FFD6E4F0"/>
        <bgColor rgb="FFE2EFDA"/>
      </patternFill>
    </fill>
    <fill>
      <patternFill patternType="solid">
        <fgColor rgb="FF1A5276"/>
        <bgColor rgb="FF1F4E79"/>
      </patternFill>
    </fill>
    <fill>
      <patternFill patternType="solid">
        <fgColor rgb="FF2E75B6"/>
        <bgColor rgb="FF0066CC"/>
      </patternFill>
    </fill>
    <fill>
      <patternFill patternType="solid">
        <fgColor rgb="FFFFF2CC"/>
        <bgColor rgb="FFFEF3C7"/>
      </patternFill>
    </fill>
    <fill>
      <patternFill patternType="solid">
        <fgColor rgb="FFFFFFFF"/>
        <bgColor rgb="FFF2F2F2"/>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
      <patternFill patternType="solid">
        <fgColor rgb="FF92400E"/>
        <bgColor rgb="FF993366"/>
      </patternFill>
    </fill>
    <fill>
      <patternFill patternType="solid">
        <fgColor rgb="FFFEF3C7"/>
        <bgColor rgb="FFFFF2CC"/>
      </patternFill>
    </fill>
    <fill>
      <patternFill patternType="solid">
        <fgColor theme="2" tint="-9.9978637043366805E-2"/>
        <bgColor indexed="64"/>
      </patternFill>
    </fill>
  </fills>
  <borders count="6">
    <border>
      <left/>
      <right/>
      <top/>
      <bottom/>
      <diagonal/>
    </border>
    <border>
      <left style="thin">
        <color rgb="FFD5D8E8"/>
      </left>
      <right style="thin">
        <color rgb="FFD5D8E8"/>
      </right>
      <top style="thin">
        <color rgb="FFD5D8E8"/>
      </top>
      <bottom style="thin">
        <color rgb="FFD5D8E8"/>
      </bottom>
      <diagonal/>
    </border>
    <border>
      <left style="thin">
        <color rgb="FFBDD7EE"/>
      </left>
      <right/>
      <top style="thin">
        <color rgb="FFBDD7EE"/>
      </top>
      <bottom style="thin">
        <color rgb="FFBDD7EE"/>
      </bottom>
      <diagonal/>
    </border>
    <border>
      <left/>
      <right/>
      <top style="thin">
        <color rgb="FFBDD7EE"/>
      </top>
      <bottom style="thin">
        <color rgb="FFBDD7EE"/>
      </bottom>
      <diagonal/>
    </border>
    <border>
      <left style="thin">
        <color rgb="FFBDD7EE"/>
      </left>
      <right style="thin">
        <color rgb="FFBDD7EE"/>
      </right>
      <top style="thin">
        <color rgb="FFBDD7EE"/>
      </top>
      <bottom style="thin">
        <color rgb="FFBDD7EE"/>
      </bottom>
      <diagonal/>
    </border>
    <border>
      <left/>
      <right style="thin">
        <color rgb="FFBDD7EE"/>
      </right>
      <top style="thin">
        <color rgb="FFBDD7EE"/>
      </top>
      <bottom style="thin">
        <color rgb="FFBDD7EE"/>
      </bottom>
      <diagonal/>
    </border>
  </borders>
  <cellStyleXfs count="1">
    <xf numFmtId="0" fontId="0" fillId="0" borderId="0"/>
  </cellStyleXfs>
  <cellXfs count="123">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0" xfId="0" applyFont="1" applyFill="1" applyAlignment="1">
      <alignment vertical="center" wrapText="1"/>
    </xf>
    <xf numFmtId="0" fontId="4" fillId="0" borderId="0" xfId="0" applyFont="1" applyAlignment="1">
      <alignment vertical="center"/>
    </xf>
    <xf numFmtId="0" fontId="5" fillId="0" borderId="0" xfId="0" applyFont="1" applyAlignment="1">
      <alignment vertical="center" wrapText="1"/>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11" fillId="0" borderId="0" xfId="0" applyFont="1" applyAlignment="1">
      <alignment vertical="center"/>
    </xf>
    <xf numFmtId="0" fontId="12" fillId="7" borderId="0" xfId="0" applyFont="1" applyFill="1" applyAlignment="1">
      <alignment horizontal="center" vertical="center"/>
    </xf>
    <xf numFmtId="0" fontId="13" fillId="0" borderId="0" xfId="0" applyFont="1" applyAlignment="1">
      <alignment vertical="center"/>
    </xf>
    <xf numFmtId="164" fontId="13" fillId="0" borderId="0" xfId="0" applyNumberFormat="1" applyFont="1" applyAlignment="1">
      <alignment horizontal="right" vertical="center"/>
    </xf>
    <xf numFmtId="165" fontId="13" fillId="0" borderId="0" xfId="0" applyNumberFormat="1" applyFont="1" applyAlignment="1">
      <alignment horizontal="right" vertical="center"/>
    </xf>
    <xf numFmtId="0" fontId="13" fillId="10" borderId="0" xfId="0" applyFont="1" applyFill="1" applyAlignment="1">
      <alignment vertical="center"/>
    </xf>
    <xf numFmtId="165" fontId="13" fillId="10" borderId="0" xfId="0" applyNumberFormat="1" applyFont="1" applyFill="1" applyAlignment="1">
      <alignment horizontal="right" vertical="center"/>
    </xf>
    <xf numFmtId="0" fontId="14" fillId="0" borderId="0" xfId="0" applyFont="1" applyAlignment="1">
      <alignment vertical="center"/>
    </xf>
    <xf numFmtId="0" fontId="15" fillId="0" borderId="0" xfId="0" applyFont="1" applyAlignment="1">
      <alignment vertical="center"/>
    </xf>
    <xf numFmtId="0" fontId="13" fillId="11" borderId="0" xfId="0" applyFont="1" applyFill="1" applyAlignment="1">
      <alignment vertical="center"/>
    </xf>
    <xf numFmtId="165" fontId="13" fillId="11" borderId="0" xfId="0" applyNumberFormat="1" applyFont="1" applyFill="1" applyAlignment="1">
      <alignment horizontal="right" vertical="center"/>
    </xf>
    <xf numFmtId="0" fontId="16" fillId="0" borderId="0" xfId="0" applyFont="1" applyAlignment="1">
      <alignment vertical="center"/>
    </xf>
    <xf numFmtId="0" fontId="17" fillId="0" borderId="0" xfId="0" applyFont="1" applyAlignment="1">
      <alignment vertical="center"/>
    </xf>
    <xf numFmtId="166" fontId="17" fillId="0" borderId="0" xfId="0" applyNumberFormat="1" applyFont="1" applyAlignment="1">
      <alignment vertical="center"/>
    </xf>
    <xf numFmtId="164" fontId="17" fillId="0" borderId="0" xfId="0" applyNumberFormat="1" applyFont="1" applyAlignment="1">
      <alignment vertical="center"/>
    </xf>
    <xf numFmtId="0" fontId="18" fillId="0" borderId="1" xfId="0" applyFont="1" applyBorder="1" applyAlignment="1">
      <alignment vertical="center"/>
    </xf>
    <xf numFmtId="0" fontId="19" fillId="0" borderId="1" xfId="0" applyFont="1" applyBorder="1" applyAlignment="1">
      <alignment vertical="center"/>
    </xf>
    <xf numFmtId="0" fontId="20" fillId="0" borderId="1" xfId="0" applyFont="1" applyBorder="1" applyAlignment="1">
      <alignment vertical="center"/>
    </xf>
    <xf numFmtId="0" fontId="12" fillId="7" borderId="1" xfId="0" applyFont="1" applyFill="1" applyBorder="1" applyAlignment="1">
      <alignment horizontal="center" vertical="center" wrapText="1"/>
    </xf>
    <xf numFmtId="0" fontId="13" fillId="0" borderId="1" xfId="0" applyFont="1" applyBorder="1" applyAlignment="1">
      <alignment vertical="center"/>
    </xf>
    <xf numFmtId="0" fontId="13" fillId="0" borderId="1" xfId="0" applyFont="1" applyBorder="1" applyAlignment="1">
      <alignment horizontal="center" vertical="center"/>
    </xf>
    <xf numFmtId="166" fontId="21" fillId="0" borderId="1" xfId="0" applyNumberFormat="1" applyFont="1" applyBorder="1" applyAlignment="1">
      <alignment horizontal="right" vertical="center"/>
    </xf>
    <xf numFmtId="164" fontId="21" fillId="0" borderId="1" xfId="0" applyNumberFormat="1" applyFont="1" applyBorder="1" applyAlignment="1">
      <alignment horizontal="right" vertical="center"/>
    </xf>
    <xf numFmtId="0" fontId="22" fillId="8" borderId="1" xfId="0" applyFont="1" applyFill="1" applyBorder="1" applyAlignment="1">
      <alignment vertical="center"/>
    </xf>
    <xf numFmtId="164" fontId="22" fillId="8" borderId="1" xfId="0" applyNumberFormat="1" applyFont="1" applyFill="1" applyBorder="1" applyAlignment="1">
      <alignment horizontal="right" vertical="center"/>
    </xf>
    <xf numFmtId="0" fontId="13" fillId="12" borderId="1" xfId="0" applyFont="1" applyFill="1" applyBorder="1" applyAlignment="1">
      <alignment vertical="center"/>
    </xf>
    <xf numFmtId="3" fontId="21" fillId="12" borderId="1" xfId="0" applyNumberFormat="1" applyFont="1" applyFill="1" applyBorder="1" applyAlignment="1">
      <alignment horizontal="right" vertical="center"/>
    </xf>
    <xf numFmtId="165" fontId="21" fillId="12" borderId="1" xfId="0" applyNumberFormat="1" applyFont="1" applyFill="1" applyBorder="1" applyAlignment="1">
      <alignment horizontal="right" vertical="center"/>
    </xf>
    <xf numFmtId="0" fontId="22" fillId="0" borderId="1" xfId="0" applyFont="1" applyBorder="1" applyAlignment="1">
      <alignment vertical="center"/>
    </xf>
    <xf numFmtId="4" fontId="21" fillId="0" borderId="1" xfId="0" applyNumberFormat="1" applyFont="1" applyBorder="1" applyAlignment="1">
      <alignment horizontal="right" vertical="center"/>
    </xf>
    <xf numFmtId="166" fontId="22" fillId="0" borderId="1" xfId="0" applyNumberFormat="1" applyFont="1" applyBorder="1" applyAlignment="1">
      <alignment horizontal="right" vertical="center"/>
    </xf>
    <xf numFmtId="166" fontId="13" fillId="0" borderId="1" xfId="0" applyNumberFormat="1" applyFont="1" applyBorder="1" applyAlignment="1">
      <alignment horizontal="right" vertical="center"/>
    </xf>
    <xf numFmtId="165" fontId="13" fillId="0" borderId="1" xfId="0" applyNumberFormat="1" applyFont="1" applyBorder="1" applyAlignment="1">
      <alignment horizontal="right" vertical="center"/>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3" fillId="13" borderId="1" xfId="0" applyFont="1" applyFill="1" applyBorder="1" applyAlignment="1">
      <alignment vertical="center"/>
    </xf>
    <xf numFmtId="0" fontId="13" fillId="9" borderId="1" xfId="0" applyFont="1" applyFill="1" applyBorder="1" applyAlignment="1">
      <alignment vertical="center"/>
    </xf>
    <xf numFmtId="3" fontId="21" fillId="0" borderId="1" xfId="0" applyNumberFormat="1" applyFont="1" applyBorder="1" applyAlignment="1">
      <alignment horizontal="right" vertical="center"/>
    </xf>
    <xf numFmtId="164" fontId="13" fillId="0" borderId="1" xfId="0" applyNumberFormat="1" applyFont="1" applyBorder="1" applyAlignment="1">
      <alignment horizontal="right" vertical="center"/>
    </xf>
    <xf numFmtId="0" fontId="22" fillId="10" borderId="1" xfId="0" applyFont="1" applyFill="1" applyBorder="1" applyAlignment="1">
      <alignment vertical="center"/>
    </xf>
    <xf numFmtId="3" fontId="22" fillId="10" borderId="1" xfId="0" applyNumberFormat="1" applyFont="1" applyFill="1" applyBorder="1" applyAlignment="1">
      <alignment horizontal="right" vertical="center"/>
    </xf>
    <xf numFmtId="0" fontId="5" fillId="10" borderId="1" xfId="0" applyFont="1" applyFill="1" applyBorder="1" applyAlignment="1">
      <alignment vertical="center"/>
    </xf>
    <xf numFmtId="164" fontId="22" fillId="10" borderId="1" xfId="0" applyNumberFormat="1" applyFont="1" applyFill="1" applyBorder="1" applyAlignment="1">
      <alignment horizontal="right" vertical="center"/>
    </xf>
    <xf numFmtId="165" fontId="22" fillId="10" borderId="1" xfId="0" applyNumberFormat="1" applyFont="1" applyFill="1" applyBorder="1" applyAlignment="1">
      <alignment horizontal="right" vertical="center"/>
    </xf>
    <xf numFmtId="0" fontId="26" fillId="17" borderId="4" xfId="0" applyFont="1" applyFill="1" applyBorder="1" applyAlignment="1">
      <alignment horizontal="center" vertical="center"/>
    </xf>
    <xf numFmtId="0" fontId="26" fillId="17" borderId="4" xfId="0" applyFont="1" applyFill="1" applyBorder="1" applyAlignment="1">
      <alignment horizontal="center" vertical="center" wrapText="1"/>
    </xf>
    <xf numFmtId="0" fontId="27" fillId="15" borderId="4" xfId="0" applyFont="1" applyFill="1" applyBorder="1" applyAlignment="1">
      <alignment horizontal="left" vertical="center" wrapText="1"/>
    </xf>
    <xf numFmtId="167" fontId="28" fillId="18" borderId="4" xfId="0" applyNumberFormat="1" applyFont="1" applyFill="1" applyBorder="1" applyAlignment="1">
      <alignment horizontal="right" vertical="center"/>
    </xf>
    <xf numFmtId="0" fontId="29" fillId="15" borderId="4" xfId="0" applyFont="1" applyFill="1" applyBorder="1" applyAlignment="1">
      <alignment horizontal="left" vertical="center" wrapText="1"/>
    </xf>
    <xf numFmtId="168" fontId="28" fillId="18" borderId="4" xfId="0" applyNumberFormat="1" applyFont="1" applyFill="1" applyBorder="1" applyAlignment="1">
      <alignment horizontal="right" vertical="center"/>
    </xf>
    <xf numFmtId="0" fontId="27" fillId="19" borderId="4" xfId="0" applyFont="1" applyFill="1" applyBorder="1" applyAlignment="1">
      <alignment horizontal="left" vertical="center" wrapText="1"/>
    </xf>
    <xf numFmtId="0" fontId="29" fillId="19" borderId="4" xfId="0" applyFont="1" applyFill="1" applyBorder="1" applyAlignment="1">
      <alignment horizontal="left" vertical="center" wrapText="1"/>
    </xf>
    <xf numFmtId="169" fontId="28" fillId="18" borderId="4" xfId="0" applyNumberFormat="1" applyFont="1" applyFill="1" applyBorder="1" applyAlignment="1">
      <alignment horizontal="right" vertical="center"/>
    </xf>
    <xf numFmtId="0" fontId="30" fillId="15" borderId="4" xfId="0" applyFont="1" applyFill="1" applyBorder="1" applyAlignment="1">
      <alignment horizontal="left" vertical="center" wrapText="1"/>
    </xf>
    <xf numFmtId="0" fontId="31" fillId="20" borderId="4" xfId="0" applyFont="1" applyFill="1" applyBorder="1" applyAlignment="1">
      <alignment horizontal="left" vertical="center" wrapText="1"/>
    </xf>
    <xf numFmtId="167" fontId="32" fillId="20" borderId="4" xfId="0" applyNumberFormat="1" applyFont="1" applyFill="1" applyBorder="1" applyAlignment="1">
      <alignment horizontal="right" vertical="center"/>
    </xf>
    <xf numFmtId="0" fontId="29" fillId="20" borderId="4" xfId="0" applyFont="1" applyFill="1" applyBorder="1" applyAlignment="1">
      <alignment horizontal="left" vertical="center" wrapText="1"/>
    </xf>
    <xf numFmtId="0" fontId="33" fillId="21" borderId="4" xfId="0" applyFont="1" applyFill="1" applyBorder="1" applyAlignment="1">
      <alignment horizontal="left" vertical="center" wrapText="1"/>
    </xf>
    <xf numFmtId="168" fontId="33" fillId="21" borderId="4" xfId="0" applyNumberFormat="1" applyFont="1" applyFill="1" applyBorder="1" applyAlignment="1">
      <alignment horizontal="right" vertical="center"/>
    </xf>
    <xf numFmtId="167" fontId="33" fillId="21" borderId="4" xfId="0" applyNumberFormat="1" applyFont="1" applyFill="1" applyBorder="1" applyAlignment="1">
      <alignment horizontal="right" vertical="center"/>
    </xf>
    <xf numFmtId="0" fontId="29" fillId="21" borderId="4" xfId="0" applyFont="1" applyFill="1" applyBorder="1" applyAlignment="1">
      <alignment horizontal="left" vertical="center" wrapText="1"/>
    </xf>
    <xf numFmtId="167" fontId="32" fillId="15" borderId="4" xfId="0" applyNumberFormat="1" applyFont="1" applyFill="1" applyBorder="1" applyAlignment="1">
      <alignment horizontal="right" vertical="center"/>
    </xf>
    <xf numFmtId="167" fontId="32" fillId="19" borderId="4" xfId="0" applyNumberFormat="1" applyFont="1" applyFill="1" applyBorder="1" applyAlignment="1">
      <alignment horizontal="right" vertical="center"/>
    </xf>
    <xf numFmtId="0" fontId="34" fillId="22" borderId="4" xfId="0" applyFont="1" applyFill="1" applyBorder="1" applyAlignment="1">
      <alignment horizontal="left" vertical="center" wrapText="1"/>
    </xf>
    <xf numFmtId="167" fontId="34" fillId="22" borderId="4" xfId="0" applyNumberFormat="1" applyFont="1" applyFill="1" applyBorder="1" applyAlignment="1">
      <alignment horizontal="right" vertical="center"/>
    </xf>
    <xf numFmtId="168" fontId="34" fillId="22" borderId="4" xfId="0" applyNumberFormat="1" applyFont="1" applyFill="1" applyBorder="1" applyAlignment="1">
      <alignment horizontal="right" vertical="center"/>
    </xf>
    <xf numFmtId="0" fontId="27" fillId="24" borderId="4" xfId="0" applyFont="1" applyFill="1" applyBorder="1" applyAlignment="1">
      <alignment horizontal="left" vertical="center" wrapText="1"/>
    </xf>
    <xf numFmtId="0" fontId="27" fillId="18" borderId="4" xfId="0" applyFont="1" applyFill="1" applyBorder="1" applyAlignment="1">
      <alignment horizontal="left" vertical="center" wrapText="1"/>
    </xf>
    <xf numFmtId="165" fontId="28" fillId="18" borderId="4" xfId="0" applyNumberFormat="1" applyFont="1" applyFill="1" applyBorder="1" applyAlignment="1">
      <alignment horizontal="right" vertical="center"/>
    </xf>
    <xf numFmtId="3" fontId="28" fillId="18" borderId="4" xfId="0" applyNumberFormat="1" applyFont="1" applyFill="1" applyBorder="1" applyAlignment="1">
      <alignment horizontal="right" vertical="center"/>
    </xf>
    <xf numFmtId="0" fontId="35" fillId="21" borderId="4" xfId="0" applyFont="1" applyFill="1" applyBorder="1" applyAlignment="1">
      <alignment horizontal="left" vertical="center" wrapText="1"/>
    </xf>
    <xf numFmtId="168" fontId="35" fillId="21" borderId="4" xfId="0" applyNumberFormat="1" applyFont="1" applyFill="1" applyBorder="1" applyAlignment="1">
      <alignment horizontal="right" vertical="center"/>
    </xf>
    <xf numFmtId="0" fontId="32" fillId="21" borderId="4" xfId="0" applyFont="1" applyFill="1" applyBorder="1" applyAlignment="1">
      <alignment horizontal="left" vertical="center" wrapText="1"/>
    </xf>
    <xf numFmtId="167" fontId="36" fillId="21" borderId="4" xfId="0" applyNumberFormat="1" applyFont="1" applyFill="1" applyBorder="1" applyAlignment="1">
      <alignment horizontal="right" vertical="center"/>
    </xf>
    <xf numFmtId="168" fontId="36" fillId="21" borderId="4" xfId="0" applyNumberFormat="1" applyFont="1" applyFill="1" applyBorder="1" applyAlignment="1">
      <alignment horizontal="right" vertical="center"/>
    </xf>
    <xf numFmtId="9" fontId="28" fillId="18" borderId="4" xfId="0" applyNumberFormat="1" applyFont="1" applyFill="1" applyBorder="1" applyAlignment="1">
      <alignment horizontal="right" vertical="center"/>
    </xf>
    <xf numFmtId="168" fontId="37" fillId="20" borderId="4" xfId="0" applyNumberFormat="1" applyFont="1" applyFill="1" applyBorder="1" applyAlignment="1">
      <alignment horizontal="right" vertical="center"/>
    </xf>
    <xf numFmtId="0" fontId="38" fillId="0" borderId="2" xfId="0" applyFont="1" applyBorder="1" applyAlignment="1">
      <alignment vertical="center"/>
    </xf>
    <xf numFmtId="0" fontId="38" fillId="0" borderId="3" xfId="0" applyFont="1" applyBorder="1" applyAlignment="1">
      <alignment vertical="center"/>
    </xf>
    <xf numFmtId="0" fontId="38" fillId="0" borderId="5" xfId="0" applyFont="1" applyBorder="1" applyAlignment="1">
      <alignment vertical="center"/>
    </xf>
    <xf numFmtId="0" fontId="39" fillId="0" borderId="4" xfId="0" applyFont="1" applyBorder="1" applyAlignment="1">
      <alignment horizontal="left" vertical="center"/>
    </xf>
    <xf numFmtId="0" fontId="40" fillId="0" borderId="2" xfId="0" applyFont="1" applyBorder="1" applyAlignment="1">
      <alignment vertical="center"/>
    </xf>
    <xf numFmtId="0" fontId="40" fillId="0" borderId="3" xfId="0" applyFont="1" applyBorder="1" applyAlignment="1">
      <alignment vertical="center"/>
    </xf>
    <xf numFmtId="0" fontId="40" fillId="0" borderId="5" xfId="0" applyFont="1" applyBorder="1" applyAlignment="1">
      <alignment vertical="center"/>
    </xf>
    <xf numFmtId="0" fontId="25" fillId="14" borderId="4" xfId="0" applyFont="1" applyFill="1" applyBorder="1" applyAlignment="1">
      <alignment horizontal="center" vertical="center"/>
    </xf>
    <xf numFmtId="168" fontId="25" fillId="14" borderId="4" xfId="0" applyNumberFormat="1" applyFont="1" applyFill="1" applyBorder="1" applyAlignment="1">
      <alignment horizontal="right" vertical="center"/>
    </xf>
    <xf numFmtId="0" fontId="41" fillId="15" borderId="4" xfId="0" applyFont="1" applyFill="1" applyBorder="1" applyAlignment="1">
      <alignment horizontal="left" vertical="center" wrapText="1"/>
    </xf>
    <xf numFmtId="0" fontId="0" fillId="0" borderId="5" xfId="0" applyBorder="1"/>
    <xf numFmtId="0" fontId="25" fillId="16" borderId="4" xfId="0" applyFont="1" applyFill="1" applyBorder="1" applyAlignment="1">
      <alignment horizontal="center" vertical="center"/>
    </xf>
    <xf numFmtId="0" fontId="29" fillId="21" borderId="4" xfId="0" applyFont="1" applyFill="1" applyBorder="1" applyAlignment="1">
      <alignment horizontal="left" vertical="center" wrapText="1"/>
    </xf>
    <xf numFmtId="0" fontId="0" fillId="0" borderId="3" xfId="0" applyBorder="1"/>
    <xf numFmtId="0" fontId="25" fillId="23" borderId="4" xfId="0" applyFont="1" applyFill="1" applyBorder="1" applyAlignment="1">
      <alignment horizontal="center" vertical="center"/>
    </xf>
    <xf numFmtId="0" fontId="26" fillId="17" borderId="4" xfId="0" applyFont="1" applyFill="1" applyBorder="1" applyAlignment="1">
      <alignment horizontal="center" vertical="center"/>
    </xf>
    <xf numFmtId="0" fontId="29" fillId="19" borderId="4" xfId="0" applyFont="1" applyFill="1" applyBorder="1" applyAlignment="1">
      <alignment horizontal="left" vertical="center" wrapText="1"/>
    </xf>
    <xf numFmtId="0" fontId="29" fillId="15" borderId="4" xfId="0" applyFont="1" applyFill="1" applyBorder="1" applyAlignment="1">
      <alignment horizontal="left" vertical="center" wrapText="1"/>
    </xf>
    <xf numFmtId="0" fontId="29" fillId="20" borderId="4" xfId="0" applyFont="1" applyFill="1" applyBorder="1" applyAlignment="1">
      <alignment horizontal="left" vertical="center" wrapText="1"/>
    </xf>
    <xf numFmtId="0" fontId="23" fillId="14" borderId="2" xfId="0" applyFont="1" applyFill="1" applyBorder="1" applyAlignment="1">
      <alignment horizontal="left" vertical="center"/>
    </xf>
    <xf numFmtId="0" fontId="24" fillId="15" borderId="2" xfId="0" applyFont="1" applyFill="1" applyBorder="1" applyAlignment="1">
      <alignment horizontal="left" vertical="center"/>
    </xf>
    <xf numFmtId="0" fontId="9" fillId="3" borderId="0" xfId="0" applyFont="1" applyFill="1" applyAlignment="1">
      <alignment horizontal="center" vertical="center" wrapText="1"/>
    </xf>
    <xf numFmtId="0" fontId="9" fillId="4" borderId="0" xfId="0" applyFont="1" applyFill="1" applyAlignment="1">
      <alignment horizontal="center" vertical="center" wrapText="1"/>
    </xf>
    <xf numFmtId="0" fontId="9" fillId="5" borderId="0" xfId="0" applyFont="1" applyFill="1" applyAlignment="1">
      <alignment horizontal="center" vertical="center" wrapText="1"/>
    </xf>
    <xf numFmtId="0" fontId="9" fillId="6" borderId="0" xfId="0" applyFont="1" applyFill="1" applyAlignment="1">
      <alignment horizontal="center" vertical="center" wrapText="1"/>
    </xf>
    <xf numFmtId="164" fontId="10" fillId="3" borderId="0" xfId="0" applyNumberFormat="1" applyFont="1" applyFill="1" applyAlignment="1">
      <alignment horizontal="center" vertical="center"/>
    </xf>
    <xf numFmtId="164" fontId="10" fillId="4" borderId="0" xfId="0" applyNumberFormat="1" applyFont="1" applyFill="1" applyAlignment="1">
      <alignment horizontal="center" vertical="center"/>
    </xf>
    <xf numFmtId="165" fontId="10" fillId="5" borderId="0" xfId="0" applyNumberFormat="1" applyFont="1" applyFill="1" applyAlignment="1">
      <alignment horizontal="center" vertical="center"/>
    </xf>
    <xf numFmtId="3" fontId="10" fillId="6" borderId="0" xfId="0" applyNumberFormat="1" applyFont="1" applyFill="1" applyAlignment="1">
      <alignment horizontal="center" vertical="center"/>
    </xf>
    <xf numFmtId="0" fontId="13" fillId="9" borderId="0" xfId="0" applyFont="1" applyFill="1" applyAlignment="1">
      <alignment vertical="center" wrapText="1"/>
    </xf>
    <xf numFmtId="166" fontId="13" fillId="9" borderId="0" xfId="0" applyNumberFormat="1" applyFont="1" applyFill="1" applyAlignment="1">
      <alignment horizontal="right" vertical="center"/>
    </xf>
    <xf numFmtId="0" fontId="13" fillId="8" borderId="0" xfId="0" applyFont="1" applyFill="1" applyAlignment="1">
      <alignment vertical="center" wrapText="1"/>
    </xf>
    <xf numFmtId="0" fontId="13" fillId="8" borderId="0" xfId="0" applyFont="1" applyFill="1" applyAlignment="1">
      <alignment horizontal="right" vertical="center"/>
    </xf>
    <xf numFmtId="3" fontId="13" fillId="9" borderId="0" xfId="0" applyNumberFormat="1" applyFont="1" applyFill="1" applyAlignment="1">
      <alignment horizontal="right" vertical="center"/>
    </xf>
    <xf numFmtId="166" fontId="13" fillId="8" borderId="0" xfId="0" applyNumberFormat="1" applyFont="1" applyFill="1" applyAlignment="1">
      <alignment horizontal="right" vertical="center"/>
    </xf>
    <xf numFmtId="0" fontId="42" fillId="25" borderId="0" xfId="0" applyFont="1" applyFill="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08080"/>
      <rgbColor rgb="FFD9D9D9"/>
      <rgbColor rgb="FF878787"/>
      <rgbColor rgb="FF9999FF"/>
      <rgbColor rgb="FFD6336C"/>
      <rgbColor rgb="FFFDF3DC"/>
      <rgbColor rgb="FFDDF5EC"/>
      <rgbColor rgb="FF660066"/>
      <rgbColor rgb="FFFF8080"/>
      <rgbColor rgb="FF0066CC"/>
      <rgbColor rgb="FFD5D8E8"/>
      <rgbColor rgb="FF000080"/>
      <rgbColor rgb="FFFF00FF"/>
      <rgbColor rgb="FFFFFF00"/>
      <rgbColor rgb="FF00FFFF"/>
      <rgbColor rgb="FF800080"/>
      <rgbColor rgb="FF800000"/>
      <rgbColor rgb="FF008080"/>
      <rgbColor rgb="FF0000FF"/>
      <rgbColor rgb="FF00CCFF"/>
      <rgbColor rgb="FFE4E7FB"/>
      <rgbColor rgb="FFF3F4FB"/>
      <rgbColor rgb="FFFFF4E5"/>
      <rgbColor rgb="FFF9F9F9"/>
      <rgbColor rgb="FFFF99CC"/>
      <rgbColor rgb="FFCC99FF"/>
      <rgbColor rgb="FFFBE4EC"/>
      <rgbColor rgb="FF4C5BD4"/>
      <rgbColor rgb="FF20C997"/>
      <rgbColor rgb="FF99CC00"/>
      <rgbColor rgb="FFFFCC00"/>
      <rgbColor rgb="FFF0A500"/>
      <rgbColor rgb="FFFF6600"/>
      <rgbColor rgb="FF6B7280"/>
      <rgbColor rgb="FF4F81BD"/>
      <rgbColor rgb="FF1E2140"/>
      <rgbColor rgb="FF0CA678"/>
      <rgbColor rgb="FF003300"/>
      <rgbColor rgb="FF333300"/>
      <rgbColor rgb="FF993300"/>
      <rgbColor rgb="FF993366"/>
      <rgbColor rgb="FF6741D9"/>
      <rgbColor rgb="FF2022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Contribution/CBM &amp; Monthly PBT by Grade</a:t>
            </a:r>
          </a:p>
        </c:rich>
      </c:tx>
      <c:overlay val="0"/>
      <c:spPr>
        <a:noFill/>
        <a:ln w="0">
          <a:noFill/>
        </a:ln>
      </c:spPr>
    </c:title>
    <c:autoTitleDeleted val="0"/>
    <c:plotArea>
      <c:layout/>
      <c:barChart>
        <c:barDir val="col"/>
        <c:grouping val="clustered"/>
        <c:varyColors val="0"/>
        <c:ser>
          <c:idx val="0"/>
          <c:order val="0"/>
          <c:spPr>
            <a:solidFill>
              <a:srgbClr val="4C5BD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Dashboard!$B$28:$B$34</c:f>
              <c:strCache>
                <c:ptCount val="7"/>
                <c:pt idx="0">
                  <c:v>M10</c:v>
                </c:pt>
                <c:pt idx="1">
                  <c:v>M15</c:v>
                </c:pt>
                <c:pt idx="2">
                  <c:v>M20</c:v>
                </c:pt>
                <c:pt idx="3">
                  <c:v>M25</c:v>
                </c:pt>
                <c:pt idx="4">
                  <c:v>M30</c:v>
                </c:pt>
                <c:pt idx="5">
                  <c:v>M35</c:v>
                </c:pt>
                <c:pt idx="6">
                  <c:v>M40</c:v>
                </c:pt>
              </c:strCache>
            </c:strRef>
          </c:cat>
          <c:val>
            <c:numRef>
              <c:f>Dashboard!$C$28:$C$34</c:f>
              <c:numCache>
                <c:formatCode>\₹#,##0.00;"(₹"#,##0.00\);\-</c:formatCode>
                <c:ptCount val="7"/>
                <c:pt idx="0">
                  <c:v>1147.3499999999995</c:v>
                </c:pt>
                <c:pt idx="1">
                  <c:v>1205.5499999999993</c:v>
                </c:pt>
                <c:pt idx="2">
                  <c:v>1275.1199999999999</c:v>
                </c:pt>
                <c:pt idx="3">
                  <c:v>1322.7524999999996</c:v>
                </c:pt>
                <c:pt idx="4">
                  <c:v>1369.5224999999991</c:v>
                </c:pt>
                <c:pt idx="5">
                  <c:v>1416.8099999999995</c:v>
                </c:pt>
                <c:pt idx="6">
                  <c:v>1463.9249999999993</c:v>
                </c:pt>
              </c:numCache>
            </c:numRef>
          </c:val>
          <c:extLst>
            <c:ext xmlns:c16="http://schemas.microsoft.com/office/drawing/2014/chart" uri="{C3380CC4-5D6E-409C-BE32-E72D297353CC}">
              <c16:uniqueId val="{00000000-570F-4897-88C4-A7056E29E047}"/>
            </c:ext>
          </c:extLst>
        </c:ser>
        <c:ser>
          <c:idx val="1"/>
          <c:order val="1"/>
          <c:spPr>
            <a:solidFill>
              <a:srgbClr val="F0A50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Dashboard!$B$28:$B$34</c:f>
              <c:strCache>
                <c:ptCount val="7"/>
                <c:pt idx="0">
                  <c:v>M10</c:v>
                </c:pt>
                <c:pt idx="1">
                  <c:v>M15</c:v>
                </c:pt>
                <c:pt idx="2">
                  <c:v>M20</c:v>
                </c:pt>
                <c:pt idx="3">
                  <c:v>M25</c:v>
                </c:pt>
                <c:pt idx="4">
                  <c:v>M30</c:v>
                </c:pt>
                <c:pt idx="5">
                  <c:v>M35</c:v>
                </c:pt>
                <c:pt idx="6">
                  <c:v>M40</c:v>
                </c:pt>
              </c:strCache>
            </c:strRef>
          </c:cat>
          <c:val>
            <c:numRef>
              <c:f>Dashboard!$D$28:$D$34</c:f>
              <c:numCache>
                <c:formatCode>\₹#,##0;"(₹"#,##0\);\-</c:formatCode>
                <c:ptCount val="7"/>
                <c:pt idx="0">
                  <c:v>209204.99999999977</c:v>
                </c:pt>
                <c:pt idx="1">
                  <c:v>453329.99999999953</c:v>
                </c:pt>
                <c:pt idx="2">
                  <c:v>907632</c:v>
                </c:pt>
                <c:pt idx="3">
                  <c:v>785477.25</c:v>
                </c:pt>
                <c:pt idx="4">
                  <c:v>551713.49999999907</c:v>
                </c:pt>
                <c:pt idx="5">
                  <c:v>290042.99999999953</c:v>
                </c:pt>
                <c:pt idx="6">
                  <c:v>202784.99999999977</c:v>
                </c:pt>
              </c:numCache>
            </c:numRef>
          </c:val>
          <c:extLst>
            <c:ext xmlns:c16="http://schemas.microsoft.com/office/drawing/2014/chart" uri="{C3380CC4-5D6E-409C-BE32-E72D297353CC}">
              <c16:uniqueId val="{00000001-570F-4897-88C4-A7056E29E047}"/>
            </c:ext>
          </c:extLst>
        </c:ser>
        <c:dLbls>
          <c:showLegendKey val="0"/>
          <c:showVal val="0"/>
          <c:showCatName val="0"/>
          <c:showSerName val="0"/>
          <c:showPercent val="0"/>
          <c:showBubbleSize val="0"/>
        </c:dLbls>
        <c:gapWidth val="150"/>
        <c:axId val="80721752"/>
        <c:axId val="10594241"/>
      </c:barChart>
      <c:catAx>
        <c:axId val="8072175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594241"/>
        <c:crosses val="autoZero"/>
        <c:auto val="1"/>
        <c:lblAlgn val="ctr"/>
        <c:lblOffset val="100"/>
        <c:noMultiLvlLbl val="0"/>
      </c:catAx>
      <c:valAx>
        <c:axId val="10594241"/>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72175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Cost Composition (M25 per CBM)</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spPr>
              <a:solidFill>
                <a:srgbClr val="D6336C"/>
              </a:solidFill>
              <a:ln w="0">
                <a:noFill/>
              </a:ln>
            </c:spPr>
            <c:extLst>
              <c:ext xmlns:c16="http://schemas.microsoft.com/office/drawing/2014/chart" uri="{C3380CC4-5D6E-409C-BE32-E72D297353CC}">
                <c16:uniqueId val="{00000001-872C-4740-A693-1EA3F20128B4}"/>
              </c:ext>
            </c:extLst>
          </c:dPt>
          <c:dPt>
            <c:idx val="1"/>
            <c:bubble3D val="0"/>
            <c:spPr>
              <a:solidFill>
                <a:srgbClr val="F0A500"/>
              </a:solidFill>
              <a:ln w="0">
                <a:noFill/>
              </a:ln>
            </c:spPr>
            <c:extLst>
              <c:ext xmlns:c16="http://schemas.microsoft.com/office/drawing/2014/chart" uri="{C3380CC4-5D6E-409C-BE32-E72D297353CC}">
                <c16:uniqueId val="{00000003-872C-4740-A693-1EA3F20128B4}"/>
              </c:ext>
            </c:extLst>
          </c:dPt>
          <c:dPt>
            <c:idx val="2"/>
            <c:bubble3D val="0"/>
            <c:spPr>
              <a:solidFill>
                <a:srgbClr val="0CA678"/>
              </a:solidFill>
              <a:ln w="0">
                <a:noFill/>
              </a:ln>
            </c:spPr>
            <c:extLst>
              <c:ext xmlns:c16="http://schemas.microsoft.com/office/drawing/2014/chart" uri="{C3380CC4-5D6E-409C-BE32-E72D297353CC}">
                <c16:uniqueId val="{00000005-872C-4740-A693-1EA3F20128B4}"/>
              </c:ext>
            </c:extLst>
          </c:dPt>
          <c:dPt>
            <c:idx val="3"/>
            <c:bubble3D val="0"/>
            <c:spPr>
              <a:solidFill>
                <a:srgbClr val="4C5BD4"/>
              </a:solidFill>
              <a:ln w="0">
                <a:noFill/>
              </a:ln>
            </c:spPr>
            <c:extLst>
              <c:ext xmlns:c16="http://schemas.microsoft.com/office/drawing/2014/chart" uri="{C3380CC4-5D6E-409C-BE32-E72D297353CC}">
                <c16:uniqueId val="{00000007-872C-4740-A693-1EA3F20128B4}"/>
              </c:ext>
            </c:extLst>
          </c:dPt>
          <c:dPt>
            <c:idx val="4"/>
            <c:bubble3D val="0"/>
            <c:spPr>
              <a:solidFill>
                <a:srgbClr val="6741D9"/>
              </a:solidFill>
              <a:ln w="0">
                <a:noFill/>
              </a:ln>
            </c:spPr>
            <c:extLst>
              <c:ext xmlns:c16="http://schemas.microsoft.com/office/drawing/2014/chart" uri="{C3380CC4-5D6E-409C-BE32-E72D297353CC}">
                <c16:uniqueId val="{00000009-872C-4740-A693-1EA3F20128B4}"/>
              </c:ext>
            </c:extLst>
          </c:dPt>
          <c:dPt>
            <c:idx val="5"/>
            <c:bubble3D val="0"/>
            <c:spPr>
              <a:solidFill>
                <a:srgbClr val="20C997"/>
              </a:solidFill>
              <a:ln w="0">
                <a:noFill/>
              </a:ln>
            </c:spPr>
            <c:extLst>
              <c:ext xmlns:c16="http://schemas.microsoft.com/office/drawing/2014/chart" uri="{C3380CC4-5D6E-409C-BE32-E72D297353CC}">
                <c16:uniqueId val="{0000000B-872C-4740-A693-1EA3F20128B4}"/>
              </c:ext>
            </c:extLst>
          </c:dPt>
          <c:dLbls>
            <c:dLbl>
              <c:idx val="0"/>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872C-4740-A693-1EA3F20128B4}"/>
                </c:ext>
              </c:extLst>
            </c:dLbl>
            <c:dLbl>
              <c:idx val="1"/>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872C-4740-A693-1EA3F20128B4}"/>
                </c:ext>
              </c:extLst>
            </c:dLbl>
            <c:dLbl>
              <c:idx val="2"/>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872C-4740-A693-1EA3F20128B4}"/>
                </c:ext>
              </c:extLst>
            </c:dLbl>
            <c:dLbl>
              <c:idx val="3"/>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872C-4740-A693-1EA3F20128B4}"/>
                </c:ext>
              </c:extLst>
            </c:dLbl>
            <c:dLbl>
              <c:idx val="4"/>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9-872C-4740-A693-1EA3F20128B4}"/>
                </c:ext>
              </c:extLst>
            </c:dLbl>
            <c:dLbl>
              <c:idx val="5"/>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B-872C-4740-A693-1EA3F20128B4}"/>
                </c:ext>
              </c:extLst>
            </c:dLbl>
            <c:spPr>
              <a:noFill/>
              <a:ln>
                <a:noFill/>
              </a:ln>
              <a:effectLst/>
            </c:spPr>
            <c:txPr>
              <a:bodyPr wrap="square"/>
              <a:lstStyle/>
              <a:p>
                <a:pPr>
                  <a:defRPr sz="1000" b="0" strike="noStrike" spc="-1">
                    <a:solidFill>
                      <a:srgbClr val="000000"/>
                    </a:solidFill>
                    <a:latin typeface="Calibri"/>
                  </a:defRPr>
                </a:pPr>
                <a:endParaRPr lang="en-US"/>
              </a:p>
            </c:txP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Dashboard!$F$29:$F$34</c:f>
              <c:strCache>
                <c:ptCount val="6"/>
                <c:pt idx="0">
                  <c:v>Cement</c:v>
                </c:pt>
                <c:pt idx="1">
                  <c:v>Sand</c:v>
                </c:pt>
                <c:pt idx="2">
                  <c:v>Aggregate</c:v>
                </c:pt>
                <c:pt idx="3">
                  <c:v>Diesel+Transport</c:v>
                </c:pt>
                <c:pt idx="4">
                  <c:v>Elec+Labour+Repairs</c:v>
                </c:pt>
                <c:pt idx="5">
                  <c:v>Fixed (plant/admin)</c:v>
                </c:pt>
              </c:strCache>
            </c:strRef>
          </c:cat>
          <c:val>
            <c:numRef>
              <c:f>Dashboard!$G$29:$G$34</c:f>
              <c:numCache>
                <c:formatCode>\₹#,##0.00;"(₹"#,##0.00\);\-</c:formatCode>
                <c:ptCount val="6"/>
                <c:pt idx="0">
                  <c:v>2736</c:v>
                </c:pt>
                <c:pt idx="1">
                  <c:v>891.00000000000011</c:v>
                </c:pt>
                <c:pt idx="2">
                  <c:v>1356.75</c:v>
                </c:pt>
                <c:pt idx="3">
                  <c:v>335</c:v>
                </c:pt>
                <c:pt idx="4">
                  <c:v>213</c:v>
                </c:pt>
                <c:pt idx="5">
                  <c:v>390</c:v>
                </c:pt>
              </c:numCache>
            </c:numRef>
          </c:val>
          <c:extLst>
            <c:ext xmlns:c16="http://schemas.microsoft.com/office/drawing/2014/chart" uri="{C3380CC4-5D6E-409C-BE32-E72D297353CC}">
              <c16:uniqueId val="{0000000C-872C-4740-A693-1EA3F20128B4}"/>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34</xdr:row>
      <xdr:rowOff>85680</xdr:rowOff>
    </xdr:from>
    <xdr:to>
      <xdr:col>4</xdr:col>
      <xdr:colOff>2195040</xdr:colOff>
      <xdr:row>47</xdr:row>
      <xdr:rowOff>128880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34</xdr:row>
      <xdr:rowOff>85680</xdr:rowOff>
    </xdr:from>
    <xdr:to>
      <xdr:col>8</xdr:col>
      <xdr:colOff>784260</xdr:colOff>
      <xdr:row>47</xdr:row>
      <xdr:rowOff>128880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18"/>
  <sheetViews>
    <sheetView showGridLines="0" tabSelected="1" zoomScaleNormal="100" workbookViewId="0">
      <selection activeCell="K6" sqref="K6"/>
    </sheetView>
  </sheetViews>
  <sheetFormatPr defaultColWidth="8.6640625" defaultRowHeight="14.4" x14ac:dyDescent="0.3"/>
  <cols>
    <col min="1" max="1" width="3" customWidth="1"/>
    <col min="2" max="2" width="100" customWidth="1"/>
  </cols>
  <sheetData>
    <row r="1" spans="2:12" ht="49.2" customHeight="1" x14ac:dyDescent="0.3">
      <c r="D1" s="122" t="s">
        <v>219</v>
      </c>
      <c r="E1" s="122"/>
      <c r="F1" s="122"/>
      <c r="G1" s="122"/>
      <c r="H1" s="122"/>
      <c r="I1" s="122"/>
      <c r="J1" s="122"/>
      <c r="K1" s="122"/>
      <c r="L1" s="122"/>
    </row>
    <row r="2" spans="2:12" ht="23.4" x14ac:dyDescent="0.3">
      <c r="B2" s="1" t="s">
        <v>0</v>
      </c>
    </row>
    <row r="3" spans="2:12" x14ac:dyDescent="0.3">
      <c r="B3" s="2" t="s">
        <v>1</v>
      </c>
    </row>
    <row r="5" spans="2:12" ht="42" customHeight="1" x14ac:dyDescent="0.3">
      <c r="B5" s="3" t="s">
        <v>2</v>
      </c>
    </row>
    <row r="7" spans="2:12" x14ac:dyDescent="0.3">
      <c r="B7" s="4" t="s">
        <v>3</v>
      </c>
    </row>
    <row r="8" spans="2:12" ht="42" customHeight="1" x14ac:dyDescent="0.3">
      <c r="B8" s="5" t="s">
        <v>126</v>
      </c>
    </row>
    <row r="9" spans="2:12" ht="42" customHeight="1" x14ac:dyDescent="0.3">
      <c r="B9" s="5" t="s">
        <v>127</v>
      </c>
    </row>
    <row r="10" spans="2:12" ht="42" customHeight="1" x14ac:dyDescent="0.3">
      <c r="B10" s="5" t="s">
        <v>128</v>
      </c>
    </row>
    <row r="11" spans="2:12" ht="42" customHeight="1" x14ac:dyDescent="0.3">
      <c r="B11" s="5" t="s">
        <v>129</v>
      </c>
    </row>
    <row r="12" spans="2:12" ht="42" customHeight="1" x14ac:dyDescent="0.3">
      <c r="B12" s="5" t="s">
        <v>130</v>
      </c>
    </row>
    <row r="13" spans="2:12" ht="42" customHeight="1" x14ac:dyDescent="0.3">
      <c r="B13" s="5" t="s">
        <v>131</v>
      </c>
    </row>
    <row r="15" spans="2:12" x14ac:dyDescent="0.3">
      <c r="B15" s="4" t="s">
        <v>4</v>
      </c>
    </row>
    <row r="16" spans="2:12" ht="41.4" x14ac:dyDescent="0.3">
      <c r="B16" s="5" t="s">
        <v>5</v>
      </c>
    </row>
    <row r="18" spans="2:2" x14ac:dyDescent="0.3">
      <c r="B18" s="6" t="s">
        <v>6</v>
      </c>
    </row>
  </sheetData>
  <mergeCells count="1">
    <mergeCell ref="D1:L1"/>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M34"/>
  <sheetViews>
    <sheetView showGridLines="0" topLeftCell="A22" zoomScaleNormal="100" workbookViewId="0"/>
  </sheetViews>
  <sheetFormatPr defaultColWidth="8.6640625" defaultRowHeight="14.4" x14ac:dyDescent="0.3"/>
  <cols>
    <col min="1" max="1" width="2" customWidth="1"/>
    <col min="2" max="4" width="11.44140625" customWidth="1"/>
    <col min="5" max="5" width="35.44140625" customWidth="1"/>
    <col min="6" max="13" width="11.44140625" customWidth="1"/>
  </cols>
  <sheetData>
    <row r="2" spans="2:13" ht="25.2" x14ac:dyDescent="0.3">
      <c r="B2" s="7" t="s">
        <v>7</v>
      </c>
    </row>
    <row r="3" spans="2:13" x14ac:dyDescent="0.3">
      <c r="B3" s="8" t="s">
        <v>8</v>
      </c>
    </row>
    <row r="5" spans="2:13" ht="15" customHeight="1" x14ac:dyDescent="0.3">
      <c r="B5" s="108" t="s">
        <v>9</v>
      </c>
      <c r="C5" s="108"/>
      <c r="D5" s="108"/>
      <c r="E5" s="109" t="s">
        <v>10</v>
      </c>
      <c r="F5" s="109"/>
      <c r="G5" s="109"/>
      <c r="H5" s="110" t="s">
        <v>11</v>
      </c>
      <c r="I5" s="110"/>
      <c r="J5" s="110"/>
      <c r="K5" s="111" t="s">
        <v>12</v>
      </c>
      <c r="L5" s="111"/>
      <c r="M5" s="111"/>
    </row>
    <row r="6" spans="2:13" x14ac:dyDescent="0.3">
      <c r="B6" s="112">
        <f>Profitability!E13</f>
        <v>27908090.75</v>
      </c>
      <c r="C6" s="112"/>
      <c r="D6" s="112"/>
      <c r="E6" s="113">
        <f>Profitability!K13</f>
        <v>3400185.7499999972</v>
      </c>
      <c r="F6" s="113"/>
      <c r="G6" s="113"/>
      <c r="H6" s="114">
        <f>Profitability!L13</f>
        <v>0.12183512589445042</v>
      </c>
      <c r="I6" s="114"/>
      <c r="J6" s="114"/>
      <c r="K6" s="115">
        <f>Profitability!C13</f>
        <v>4000</v>
      </c>
      <c r="L6" s="115"/>
      <c r="M6" s="115"/>
    </row>
    <row r="7" spans="2:13" x14ac:dyDescent="0.3">
      <c r="B7" s="112"/>
      <c r="C7" s="112"/>
      <c r="D7" s="112"/>
      <c r="E7" s="113"/>
      <c r="F7" s="113"/>
      <c r="G7" s="113"/>
      <c r="H7" s="114"/>
      <c r="I7" s="114"/>
      <c r="J7" s="114"/>
      <c r="K7" s="115"/>
      <c r="L7" s="115"/>
      <c r="M7" s="115"/>
    </row>
    <row r="14" spans="2:13" x14ac:dyDescent="0.3">
      <c r="B14" s="9" t="s">
        <v>13</v>
      </c>
      <c r="F14" s="9" t="s">
        <v>14</v>
      </c>
    </row>
    <row r="15" spans="2:13" ht="15" customHeight="1" x14ac:dyDescent="0.3">
      <c r="B15" s="10" t="s">
        <v>15</v>
      </c>
      <c r="C15" s="10" t="s">
        <v>16</v>
      </c>
      <c r="D15" s="10" t="s">
        <v>17</v>
      </c>
      <c r="F15" s="118" t="s">
        <v>18</v>
      </c>
      <c r="G15" s="118"/>
      <c r="H15" s="118"/>
      <c r="I15" s="119" t="str">
        <f>INDEX(Costing!B6:B12,MATCH(MAX(Costing!M6:M12),Costing!M6:M12,0))</f>
        <v>M40</v>
      </c>
      <c r="J15" s="119"/>
    </row>
    <row r="16" spans="2:13" ht="15" customHeight="1" x14ac:dyDescent="0.3">
      <c r="B16" s="11" t="str">
        <f>Profitability!B6</f>
        <v>M10</v>
      </c>
      <c r="C16" s="12">
        <f>Profitability!K6</f>
        <v>209204.99999999977</v>
      </c>
      <c r="D16" s="13">
        <f>Profitability!L6</f>
        <v>0.12010126843886423</v>
      </c>
      <c r="F16" s="116" t="s">
        <v>19</v>
      </c>
      <c r="G16" s="116"/>
      <c r="H16" s="116"/>
      <c r="I16" s="120">
        <f>(Inputs!C30-Inputs!C28)/INDEX(Costing!M6:M12,4)</f>
        <v>1179.3589503705346</v>
      </c>
      <c r="J16" s="120"/>
    </row>
    <row r="17" spans="2:10" ht="15" customHeight="1" x14ac:dyDescent="0.3">
      <c r="B17" s="11" t="str">
        <f>Profitability!B7</f>
        <v>M15</v>
      </c>
      <c r="C17" s="12">
        <f>Profitability!K7</f>
        <v>453329.99999999953</v>
      </c>
      <c r="D17" s="13">
        <f>Profitability!L7</f>
        <v>0.12083869781129289</v>
      </c>
      <c r="F17" s="118" t="s">
        <v>20</v>
      </c>
      <c r="G17" s="118"/>
      <c r="H17" s="118"/>
      <c r="I17" s="121">
        <f>Costing!J9/(1-0.1)</f>
        <v>6909.2777777777783</v>
      </c>
      <c r="J17" s="121"/>
    </row>
    <row r="18" spans="2:10" ht="15" customHeight="1" x14ac:dyDescent="0.3">
      <c r="B18" s="11" t="str">
        <f>Profitability!B8</f>
        <v>M20</v>
      </c>
      <c r="C18" s="12">
        <f>Profitability!K8</f>
        <v>907632</v>
      </c>
      <c r="D18" s="13">
        <f>Profitability!L8</f>
        <v>0.12159294539281336</v>
      </c>
      <c r="F18" s="116" t="s">
        <v>21</v>
      </c>
      <c r="G18" s="116"/>
      <c r="H18" s="116"/>
      <c r="I18" s="117">
        <f>Costing!J9+'Mix Design'!C9*Inputs!D7*0.1</f>
        <v>6491.9500000000007</v>
      </c>
      <c r="J18" s="117"/>
    </row>
    <row r="19" spans="2:10" ht="15" customHeight="1" x14ac:dyDescent="0.3">
      <c r="B19" s="11" t="str">
        <f>Profitability!B9</f>
        <v>M25</v>
      </c>
      <c r="C19" s="12">
        <f>Profitability!K9</f>
        <v>785477.25</v>
      </c>
      <c r="D19" s="13">
        <f>Profitability!L9</f>
        <v>0.12204446796840068</v>
      </c>
      <c r="F19" s="118" t="s">
        <v>22</v>
      </c>
      <c r="G19" s="118"/>
      <c r="H19" s="118"/>
      <c r="I19" s="119" t="str">
        <f>INDEX(F29:F34,MATCH(MAX(G29:G34),G29:G34,0))</f>
        <v>Cement</v>
      </c>
      <c r="J19" s="119"/>
    </row>
    <row r="20" spans="2:10" x14ac:dyDescent="0.3">
      <c r="B20" s="11" t="str">
        <f>Profitability!B10</f>
        <v>M30</v>
      </c>
      <c r="C20" s="12">
        <f>Profitability!K10</f>
        <v>551713.49999999907</v>
      </c>
      <c r="D20" s="13">
        <f>Profitability!L10</f>
        <v>0.12244508665324602</v>
      </c>
    </row>
    <row r="21" spans="2:10" x14ac:dyDescent="0.3">
      <c r="B21" s="11" t="str">
        <f>Profitability!B11</f>
        <v>M35</v>
      </c>
      <c r="C21" s="12">
        <f>Profitability!K11</f>
        <v>290042.99999999953</v>
      </c>
      <c r="D21" s="13">
        <f>Profitability!L11</f>
        <v>0.12281303471325061</v>
      </c>
    </row>
    <row r="22" spans="2:10" x14ac:dyDescent="0.3">
      <c r="B22" s="11" t="str">
        <f>Profitability!B12</f>
        <v>M40</v>
      </c>
      <c r="C22" s="12">
        <f>Profitability!K12</f>
        <v>202784.99999999977</v>
      </c>
      <c r="D22" s="13">
        <f>Profitability!L12</f>
        <v>0.12314741435064981</v>
      </c>
      <c r="F22" s="9" t="s">
        <v>23</v>
      </c>
    </row>
    <row r="23" spans="2:10" x14ac:dyDescent="0.3">
      <c r="F23" s="14" t="s">
        <v>24</v>
      </c>
      <c r="G23" s="15">
        <f>Scenarios!C21</f>
        <v>0.13043478260869559</v>
      </c>
    </row>
    <row r="24" spans="2:10" x14ac:dyDescent="0.3">
      <c r="B24" s="16" t="s">
        <v>25</v>
      </c>
      <c r="C24" s="17" t="str">
        <f>INDEX(Profitability!B6:B12,MATCH(MAX(Profitability!K6:K12),Profitability!K6:K12,0))</f>
        <v>M20</v>
      </c>
      <c r="F24" s="18" t="s">
        <v>26</v>
      </c>
      <c r="G24" s="19">
        <f>Scenarios!D21</f>
        <v>2.1137318557375832E-2</v>
      </c>
    </row>
    <row r="25" spans="2:10" x14ac:dyDescent="0.3">
      <c r="F25" s="14" t="s">
        <v>27</v>
      </c>
      <c r="G25" s="15">
        <f>Scenarios!E21</f>
        <v>0.22432872946447599</v>
      </c>
    </row>
    <row r="27" spans="2:10" x14ac:dyDescent="0.3">
      <c r="B27" s="20" t="s">
        <v>28</v>
      </c>
    </row>
    <row r="28" spans="2:10" x14ac:dyDescent="0.3">
      <c r="B28" s="21" t="str">
        <f>Costing!B6</f>
        <v>M10</v>
      </c>
      <c r="C28" s="22">
        <f>Costing!M6</f>
        <v>1147.3499999999995</v>
      </c>
      <c r="D28" s="23">
        <f>Profitability!K6</f>
        <v>209204.99999999977</v>
      </c>
      <c r="F28" s="20" t="s">
        <v>29</v>
      </c>
    </row>
    <row r="29" spans="2:10" x14ac:dyDescent="0.3">
      <c r="B29" s="21" t="str">
        <f>Costing!B7</f>
        <v>M15</v>
      </c>
      <c r="C29" s="22">
        <f>Costing!M7</f>
        <v>1205.5499999999993</v>
      </c>
      <c r="D29" s="23">
        <f>Profitability!K7</f>
        <v>453329.99999999953</v>
      </c>
      <c r="F29" s="21" t="s">
        <v>30</v>
      </c>
      <c r="G29" s="22">
        <f>'Mix Design'!C9*Inputs!D7</f>
        <v>2736</v>
      </c>
    </row>
    <row r="30" spans="2:10" x14ac:dyDescent="0.3">
      <c r="B30" s="21" t="str">
        <f>Costing!B8</f>
        <v>M20</v>
      </c>
      <c r="C30" s="22">
        <f>Costing!M8</f>
        <v>1275.1199999999999</v>
      </c>
      <c r="D30" s="23">
        <f>Profitability!K8</f>
        <v>907632</v>
      </c>
      <c r="F30" s="21" t="s">
        <v>31</v>
      </c>
      <c r="G30" s="22">
        <f>'Mix Design'!D9*Inputs!D8</f>
        <v>891.00000000000011</v>
      </c>
    </row>
    <row r="31" spans="2:10" x14ac:dyDescent="0.3">
      <c r="B31" s="21" t="str">
        <f>Costing!B9</f>
        <v>M25</v>
      </c>
      <c r="C31" s="22">
        <f>Costing!M9</f>
        <v>1322.7524999999996</v>
      </c>
      <c r="D31" s="23">
        <f>Profitability!K9</f>
        <v>785477.25</v>
      </c>
      <c r="F31" s="21" t="s">
        <v>32</v>
      </c>
      <c r="G31" s="22">
        <f>('Mix Design'!E9*Inputs!D9)+('Mix Design'!F9*Inputs!D10)</f>
        <v>1356.75</v>
      </c>
    </row>
    <row r="32" spans="2:10" x14ac:dyDescent="0.3">
      <c r="B32" s="21" t="str">
        <f>Costing!B10</f>
        <v>M30</v>
      </c>
      <c r="C32" s="22">
        <f>Costing!M10</f>
        <v>1369.5224999999991</v>
      </c>
      <c r="D32" s="23">
        <f>Profitability!K10</f>
        <v>551713.49999999907</v>
      </c>
      <c r="F32" s="21" t="s">
        <v>33</v>
      </c>
      <c r="G32" s="22">
        <f>Costing!D9+Costing!E9</f>
        <v>335</v>
      </c>
    </row>
    <row r="33" spans="2:7" x14ac:dyDescent="0.3">
      <c r="B33" s="21" t="str">
        <f>Costing!B11</f>
        <v>M35</v>
      </c>
      <c r="C33" s="22">
        <f>Costing!M11</f>
        <v>1416.8099999999995</v>
      </c>
      <c r="D33" s="23">
        <f>Profitability!K11</f>
        <v>290042.99999999953</v>
      </c>
      <c r="F33" s="21" t="s">
        <v>34</v>
      </c>
      <c r="G33" s="22">
        <f>Costing!G9</f>
        <v>213</v>
      </c>
    </row>
    <row r="34" spans="2:7" x14ac:dyDescent="0.3">
      <c r="B34" s="21" t="str">
        <f>Costing!B12</f>
        <v>M40</v>
      </c>
      <c r="C34" s="22">
        <f>Costing!M12</f>
        <v>1463.9249999999993</v>
      </c>
      <c r="D34" s="23">
        <f>Profitability!K12</f>
        <v>202784.99999999977</v>
      </c>
      <c r="F34" s="21" t="s">
        <v>35</v>
      </c>
      <c r="G34" s="22">
        <f>Costing!I9</f>
        <v>390</v>
      </c>
    </row>
  </sheetData>
  <mergeCells count="18">
    <mergeCell ref="F18:H18"/>
    <mergeCell ref="I18:J18"/>
    <mergeCell ref="F19:H19"/>
    <mergeCell ref="I19:J19"/>
    <mergeCell ref="F15:H15"/>
    <mergeCell ref="I15:J15"/>
    <mergeCell ref="F16:H16"/>
    <mergeCell ref="I16:J16"/>
    <mergeCell ref="F17:H17"/>
    <mergeCell ref="I17:J17"/>
    <mergeCell ref="B5:D5"/>
    <mergeCell ref="E5:G5"/>
    <mergeCell ref="H5:J5"/>
    <mergeCell ref="K5:M5"/>
    <mergeCell ref="B6:D7"/>
    <mergeCell ref="E6:G7"/>
    <mergeCell ref="H6:J7"/>
    <mergeCell ref="K6:M7"/>
  </mergeCells>
  <pageMargins left="0.75" right="0.75" top="1" bottom="1" header="0.511811023622047" footer="0.511811023622047"/>
  <pageSetup fitToHeight="0"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36"/>
  <sheetViews>
    <sheetView showGridLines="0" topLeftCell="A19" zoomScaleNormal="100" workbookViewId="0"/>
  </sheetViews>
  <sheetFormatPr defaultColWidth="8.6640625" defaultRowHeight="14.4" x14ac:dyDescent="0.3"/>
  <cols>
    <col min="2" max="2" width="30" customWidth="1"/>
    <col min="3" max="3" width="26" customWidth="1"/>
    <col min="4" max="4" width="16" customWidth="1"/>
  </cols>
  <sheetData>
    <row r="2" spans="2:4" ht="19.8" x14ac:dyDescent="0.3">
      <c r="B2" s="24" t="s">
        <v>36</v>
      </c>
    </row>
    <row r="3" spans="2:4" x14ac:dyDescent="0.3">
      <c r="B3" s="25" t="s">
        <v>37</v>
      </c>
    </row>
    <row r="5" spans="2:4" ht="15.6" x14ac:dyDescent="0.3">
      <c r="B5" s="26" t="s">
        <v>38</v>
      </c>
    </row>
    <row r="6" spans="2:4" ht="30" customHeight="1" x14ac:dyDescent="0.3">
      <c r="B6" s="27" t="s">
        <v>39</v>
      </c>
      <c r="C6" s="27" t="s">
        <v>40</v>
      </c>
      <c r="D6" s="27" t="s">
        <v>41</v>
      </c>
    </row>
    <row r="7" spans="2:4" x14ac:dyDescent="0.3">
      <c r="B7" s="28" t="s">
        <v>30</v>
      </c>
      <c r="C7" s="29" t="s">
        <v>42</v>
      </c>
      <c r="D7" s="30">
        <v>7.6</v>
      </c>
    </row>
    <row r="8" spans="2:4" x14ac:dyDescent="0.3">
      <c r="B8" s="28" t="s">
        <v>31</v>
      </c>
      <c r="C8" s="29" t="s">
        <v>42</v>
      </c>
      <c r="D8" s="30">
        <v>1.35</v>
      </c>
    </row>
    <row r="9" spans="2:4" x14ac:dyDescent="0.3">
      <c r="B9" s="28" t="s">
        <v>43</v>
      </c>
      <c r="C9" s="29" t="s">
        <v>42</v>
      </c>
      <c r="D9" s="30">
        <v>1.05</v>
      </c>
    </row>
    <row r="10" spans="2:4" x14ac:dyDescent="0.3">
      <c r="B10" s="28" t="s">
        <v>44</v>
      </c>
      <c r="C10" s="29" t="s">
        <v>42</v>
      </c>
      <c r="D10" s="30">
        <v>1.1499999999999999</v>
      </c>
    </row>
    <row r="11" spans="2:4" x14ac:dyDescent="0.3">
      <c r="B11" s="28" t="s">
        <v>45</v>
      </c>
      <c r="C11" s="29" t="s">
        <v>42</v>
      </c>
      <c r="D11" s="30">
        <v>95</v>
      </c>
    </row>
    <row r="12" spans="2:4" x14ac:dyDescent="0.3">
      <c r="B12" s="28" t="s">
        <v>46</v>
      </c>
      <c r="C12" s="29" t="s">
        <v>47</v>
      </c>
      <c r="D12" s="30">
        <v>0.1</v>
      </c>
    </row>
    <row r="14" spans="2:4" ht="15.6" x14ac:dyDescent="0.3">
      <c r="B14" s="26" t="s">
        <v>48</v>
      </c>
    </row>
    <row r="15" spans="2:4" ht="30" customHeight="1" x14ac:dyDescent="0.3">
      <c r="B15" s="27" t="s">
        <v>49</v>
      </c>
      <c r="C15" s="27" t="s">
        <v>50</v>
      </c>
      <c r="D15" s="27" t="s">
        <v>41</v>
      </c>
    </row>
    <row r="16" spans="2:4" x14ac:dyDescent="0.3">
      <c r="B16" s="28" t="s">
        <v>51</v>
      </c>
      <c r="C16" s="28" t="s">
        <v>52</v>
      </c>
      <c r="D16" s="30">
        <v>95</v>
      </c>
    </row>
    <row r="17" spans="2:4" x14ac:dyDescent="0.3">
      <c r="B17" s="28" t="s">
        <v>53</v>
      </c>
      <c r="C17" s="28" t="s">
        <v>54</v>
      </c>
      <c r="D17" s="30">
        <v>38</v>
      </c>
    </row>
    <row r="18" spans="2:4" x14ac:dyDescent="0.3">
      <c r="B18" s="28" t="s">
        <v>55</v>
      </c>
      <c r="C18" s="28" t="s">
        <v>54</v>
      </c>
      <c r="D18" s="30">
        <v>120</v>
      </c>
    </row>
    <row r="19" spans="2:4" x14ac:dyDescent="0.3">
      <c r="B19" s="28" t="s">
        <v>56</v>
      </c>
      <c r="C19" s="28" t="s">
        <v>54</v>
      </c>
      <c r="D19" s="30">
        <v>240</v>
      </c>
    </row>
    <row r="20" spans="2:4" x14ac:dyDescent="0.3">
      <c r="B20" s="28" t="s">
        <v>57</v>
      </c>
      <c r="C20" s="28" t="s">
        <v>58</v>
      </c>
      <c r="D20" s="30">
        <v>180</v>
      </c>
    </row>
    <row r="21" spans="2:4" x14ac:dyDescent="0.3">
      <c r="B21" s="28" t="s">
        <v>59</v>
      </c>
      <c r="C21" s="28" t="s">
        <v>54</v>
      </c>
      <c r="D21" s="30">
        <v>55</v>
      </c>
    </row>
    <row r="24" spans="2:4" ht="15.6" x14ac:dyDescent="0.3">
      <c r="B24" s="26" t="s">
        <v>60</v>
      </c>
    </row>
    <row r="25" spans="2:4" ht="30" customHeight="1" x14ac:dyDescent="0.3">
      <c r="B25" s="27" t="s">
        <v>61</v>
      </c>
      <c r="C25" s="27" t="s">
        <v>62</v>
      </c>
    </row>
    <row r="26" spans="2:4" x14ac:dyDescent="0.3">
      <c r="B26" s="28" t="s">
        <v>63</v>
      </c>
      <c r="C26" s="31">
        <v>850000</v>
      </c>
    </row>
    <row r="27" spans="2:4" x14ac:dyDescent="0.3">
      <c r="B27" s="28" t="s">
        <v>64</v>
      </c>
      <c r="C27" s="31">
        <v>620000</v>
      </c>
    </row>
    <row r="28" spans="2:4" x14ac:dyDescent="0.3">
      <c r="B28" s="28" t="s">
        <v>65</v>
      </c>
      <c r="C28" s="31">
        <v>240000</v>
      </c>
    </row>
    <row r="29" spans="2:4" x14ac:dyDescent="0.3">
      <c r="B29" s="28" t="s">
        <v>66</v>
      </c>
      <c r="C29" s="31">
        <v>90000</v>
      </c>
    </row>
    <row r="30" spans="2:4" x14ac:dyDescent="0.3">
      <c r="B30" s="32" t="s">
        <v>67</v>
      </c>
      <c r="C30" s="33">
        <f>SUM(C26:C29)</f>
        <v>1800000</v>
      </c>
    </row>
    <row r="33" spans="2:3" ht="15.6" x14ac:dyDescent="0.3">
      <c r="B33" s="26" t="s">
        <v>68</v>
      </c>
    </row>
    <row r="34" spans="2:3" x14ac:dyDescent="0.3">
      <c r="B34" s="34" t="s">
        <v>69</v>
      </c>
      <c r="C34" s="35">
        <v>4000</v>
      </c>
    </row>
    <row r="35" spans="2:3" x14ac:dyDescent="0.3">
      <c r="B35" s="34" t="s">
        <v>70</v>
      </c>
      <c r="C35" s="36">
        <v>0.15</v>
      </c>
    </row>
    <row r="36" spans="2:3" x14ac:dyDescent="0.3">
      <c r="B36" s="34" t="s">
        <v>71</v>
      </c>
      <c r="C36" s="36">
        <v>0.6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2"/>
  <sheetViews>
    <sheetView showGridLines="0" zoomScaleNormal="100" workbookViewId="0"/>
  </sheetViews>
  <sheetFormatPr defaultColWidth="8.6640625" defaultRowHeight="14.4" x14ac:dyDescent="0.3"/>
  <cols>
    <col min="2" max="2" width="8" customWidth="1"/>
    <col min="3" max="3" width="12" customWidth="1"/>
    <col min="4" max="4" width="11" customWidth="1"/>
    <col min="5" max="7" width="13" customWidth="1"/>
    <col min="8" max="8" width="10" customWidth="1"/>
    <col min="9" max="9" width="20" customWidth="1"/>
  </cols>
  <sheetData>
    <row r="2" spans="2:9" ht="19.8" x14ac:dyDescent="0.3">
      <c r="B2" s="24" t="s">
        <v>72</v>
      </c>
    </row>
    <row r="3" spans="2:9" x14ac:dyDescent="0.3">
      <c r="B3" s="25" t="s">
        <v>73</v>
      </c>
    </row>
    <row r="5" spans="2:9" ht="30" customHeight="1" x14ac:dyDescent="0.3">
      <c r="B5" s="27" t="s">
        <v>15</v>
      </c>
      <c r="C5" s="27" t="s">
        <v>74</v>
      </c>
      <c r="D5" s="27" t="s">
        <v>75</v>
      </c>
      <c r="E5" s="27" t="s">
        <v>76</v>
      </c>
      <c r="F5" s="27" t="s">
        <v>77</v>
      </c>
      <c r="G5" s="27" t="s">
        <v>78</v>
      </c>
      <c r="H5" s="27" t="s">
        <v>79</v>
      </c>
      <c r="I5" s="27" t="s">
        <v>80</v>
      </c>
    </row>
    <row r="6" spans="2:9" x14ac:dyDescent="0.3">
      <c r="B6" s="37" t="s">
        <v>81</v>
      </c>
      <c r="C6" s="38">
        <v>210</v>
      </c>
      <c r="D6" s="38">
        <v>720</v>
      </c>
      <c r="E6" s="38">
        <v>780</v>
      </c>
      <c r="F6" s="38">
        <v>520</v>
      </c>
      <c r="G6" s="38">
        <v>0</v>
      </c>
      <c r="H6" s="38">
        <v>180</v>
      </c>
      <c r="I6" s="39">
        <f>C6*Inputs!$D$7+D6*Inputs!$D$8+E6*Inputs!$D$9+F6*Inputs!$D$10+G6*Inputs!$D$11+H6*Inputs!$D$12</f>
        <v>4003</v>
      </c>
    </row>
    <row r="7" spans="2:9" x14ac:dyDescent="0.3">
      <c r="B7" s="37" t="s">
        <v>82</v>
      </c>
      <c r="C7" s="38">
        <v>260</v>
      </c>
      <c r="D7" s="38">
        <v>700</v>
      </c>
      <c r="E7" s="38">
        <v>770</v>
      </c>
      <c r="F7" s="38">
        <v>510</v>
      </c>
      <c r="G7" s="38">
        <v>0.6</v>
      </c>
      <c r="H7" s="38">
        <v>180</v>
      </c>
      <c r="I7" s="39">
        <f>C7*Inputs!$D$7+D7*Inputs!$D$8+E7*Inputs!$D$9+F7*Inputs!$D$10+G7*Inputs!$D$11+H7*Inputs!$D$12</f>
        <v>4391</v>
      </c>
    </row>
    <row r="8" spans="2:9" x14ac:dyDescent="0.3">
      <c r="B8" s="37" t="s">
        <v>83</v>
      </c>
      <c r="C8" s="38">
        <v>320</v>
      </c>
      <c r="D8" s="38">
        <v>680</v>
      </c>
      <c r="E8" s="38">
        <v>760</v>
      </c>
      <c r="F8" s="38">
        <v>500</v>
      </c>
      <c r="G8" s="38">
        <v>1.2</v>
      </c>
      <c r="H8" s="38">
        <v>178</v>
      </c>
      <c r="I8" s="39">
        <f>C8*Inputs!$D$7+D8*Inputs!$D$8+E8*Inputs!$D$9+F8*Inputs!$D$10+G8*Inputs!$D$11+H8*Inputs!$D$12</f>
        <v>4854.8</v>
      </c>
    </row>
    <row r="9" spans="2:9" x14ac:dyDescent="0.3">
      <c r="B9" s="37" t="s">
        <v>84</v>
      </c>
      <c r="C9" s="38">
        <v>360</v>
      </c>
      <c r="D9" s="38">
        <v>660</v>
      </c>
      <c r="E9" s="38">
        <v>750</v>
      </c>
      <c r="F9" s="38">
        <v>495</v>
      </c>
      <c r="G9" s="38">
        <v>1.8</v>
      </c>
      <c r="H9" s="38">
        <v>176</v>
      </c>
      <c r="I9" s="39">
        <f>C9*Inputs!$D$7+D9*Inputs!$D$8+E9*Inputs!$D$9+F9*Inputs!$D$10+G9*Inputs!$D$11+H9*Inputs!$D$12</f>
        <v>5172.3500000000004</v>
      </c>
    </row>
    <row r="10" spans="2:9" x14ac:dyDescent="0.3">
      <c r="B10" s="37" t="s">
        <v>85</v>
      </c>
      <c r="C10" s="38">
        <v>400</v>
      </c>
      <c r="D10" s="38">
        <v>640</v>
      </c>
      <c r="E10" s="38">
        <v>740</v>
      </c>
      <c r="F10" s="38">
        <v>485</v>
      </c>
      <c r="G10" s="38">
        <v>2.4</v>
      </c>
      <c r="H10" s="38">
        <v>174</v>
      </c>
      <c r="I10" s="39">
        <f>C10*Inputs!$D$7+D10*Inputs!$D$8+E10*Inputs!$D$9+F10*Inputs!$D$10+G10*Inputs!$D$11+H10*Inputs!$D$12</f>
        <v>5484.15</v>
      </c>
    </row>
    <row r="11" spans="2:9" x14ac:dyDescent="0.3">
      <c r="B11" s="37" t="s">
        <v>86</v>
      </c>
      <c r="C11" s="38">
        <v>440</v>
      </c>
      <c r="D11" s="38">
        <v>620</v>
      </c>
      <c r="E11" s="38">
        <v>730</v>
      </c>
      <c r="F11" s="38">
        <v>478</v>
      </c>
      <c r="G11" s="38">
        <v>3</v>
      </c>
      <c r="H11" s="38">
        <v>172</v>
      </c>
      <c r="I11" s="39">
        <f>C11*Inputs!$D$7+D11*Inputs!$D$8+E11*Inputs!$D$9+F11*Inputs!$D$10+G11*Inputs!$D$11+H11*Inputs!$D$12</f>
        <v>5799.4</v>
      </c>
    </row>
    <row r="12" spans="2:9" x14ac:dyDescent="0.3">
      <c r="B12" s="37" t="s">
        <v>87</v>
      </c>
      <c r="C12" s="38">
        <v>480</v>
      </c>
      <c r="D12" s="38">
        <v>600</v>
      </c>
      <c r="E12" s="38">
        <v>720</v>
      </c>
      <c r="F12" s="38">
        <v>470</v>
      </c>
      <c r="G12" s="38">
        <v>3.6</v>
      </c>
      <c r="H12" s="38">
        <v>170</v>
      </c>
      <c r="I12" s="39">
        <f>C12*Inputs!$D$7+D12*Inputs!$D$8+E12*Inputs!$D$9+F12*Inputs!$D$10+G12*Inputs!$D$11+H12*Inputs!$D$12</f>
        <v>6113.5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N12"/>
  <sheetViews>
    <sheetView showGridLines="0" zoomScaleNormal="100" workbookViewId="0">
      <selection activeCell="F24" sqref="F24"/>
    </sheetView>
  </sheetViews>
  <sheetFormatPr defaultColWidth="8.6640625" defaultRowHeight="14.4" x14ac:dyDescent="0.3"/>
  <cols>
    <col min="2" max="2" width="8" customWidth="1"/>
    <col min="3" max="3" width="15" customWidth="1"/>
    <col min="4" max="4" width="10" customWidth="1"/>
    <col min="5" max="5" width="12" customWidth="1"/>
    <col min="6" max="6" width="15" customWidth="1"/>
    <col min="7" max="7" width="18" customWidth="1"/>
    <col min="8" max="8" width="15" customWidth="1"/>
    <col min="9" max="10" width="13" customWidth="1"/>
    <col min="11" max="11" width="14" customWidth="1"/>
    <col min="12" max="12" width="9" customWidth="1"/>
    <col min="13" max="13" width="15" customWidth="1"/>
    <col min="14" max="14" width="11" customWidth="1"/>
  </cols>
  <sheetData>
    <row r="2" spans="2:14" ht="19.8" x14ac:dyDescent="0.3">
      <c r="B2" s="24" t="s">
        <v>88</v>
      </c>
    </row>
    <row r="3" spans="2:14" x14ac:dyDescent="0.3">
      <c r="B3" s="25" t="s">
        <v>89</v>
      </c>
    </row>
    <row r="5" spans="2:14" ht="30" customHeight="1" x14ac:dyDescent="0.3">
      <c r="B5" s="27" t="s">
        <v>15</v>
      </c>
      <c r="C5" s="27" t="s">
        <v>90</v>
      </c>
      <c r="D5" s="27" t="s">
        <v>91</v>
      </c>
      <c r="E5" s="27" t="s">
        <v>92</v>
      </c>
      <c r="F5" s="27" t="s">
        <v>93</v>
      </c>
      <c r="G5" s="27" t="s">
        <v>94</v>
      </c>
      <c r="H5" s="27" t="s">
        <v>95</v>
      </c>
      <c r="I5" s="27" t="s">
        <v>96</v>
      </c>
      <c r="J5" s="27" t="s">
        <v>97</v>
      </c>
      <c r="K5" s="27" t="s">
        <v>98</v>
      </c>
      <c r="L5" s="27" t="s">
        <v>99</v>
      </c>
      <c r="M5" s="27" t="s">
        <v>100</v>
      </c>
      <c r="N5" s="27" t="s">
        <v>101</v>
      </c>
    </row>
    <row r="6" spans="2:14" x14ac:dyDescent="0.3">
      <c r="B6" s="37" t="s">
        <v>81</v>
      </c>
      <c r="C6" s="40">
        <f>'Mix Design'!I6</f>
        <v>4003</v>
      </c>
      <c r="D6" s="40">
        <f>Inputs!$D$16</f>
        <v>95</v>
      </c>
      <c r="E6" s="40">
        <f>Inputs!$D$19</f>
        <v>240</v>
      </c>
      <c r="F6" s="40">
        <f>Inputs!$D$20*Inputs!$C$36</f>
        <v>108</v>
      </c>
      <c r="G6" s="40">
        <f>Inputs!$D$17+Inputs!$D$18+Inputs!$D$21</f>
        <v>213</v>
      </c>
      <c r="H6" s="39">
        <f t="shared" ref="H6:H12" si="0">C6+D6+E6+F6+G6</f>
        <v>4659</v>
      </c>
      <c r="I6" s="39">
        <f>(Inputs!$C$30-Inputs!$C$28)/Inputs!$C$34</f>
        <v>390</v>
      </c>
      <c r="J6" s="39">
        <f t="shared" ref="J6:J12" si="1">H6+I6</f>
        <v>5049</v>
      </c>
      <c r="K6" s="40">
        <f>J6*(1+Inputs!$C$35)</f>
        <v>5806.3499999999995</v>
      </c>
      <c r="L6" s="41">
        <f t="shared" ref="L6:L12" si="2">IFERROR((K6-J6)/J6,0)</f>
        <v>0.14999999999999988</v>
      </c>
      <c r="M6" s="40">
        <f t="shared" ref="M6:M12" si="3">K6-H6</f>
        <v>1147.3499999999995</v>
      </c>
      <c r="N6" s="41">
        <f t="shared" ref="N6:N12" si="4">IFERROR((K6-J6)/K6,0)</f>
        <v>0.13043478260869557</v>
      </c>
    </row>
    <row r="7" spans="2:14" x14ac:dyDescent="0.3">
      <c r="B7" s="37" t="s">
        <v>82</v>
      </c>
      <c r="C7" s="40">
        <f>'Mix Design'!I7</f>
        <v>4391</v>
      </c>
      <c r="D7" s="40">
        <f>Inputs!$D$16</f>
        <v>95</v>
      </c>
      <c r="E7" s="40">
        <f>Inputs!$D$19</f>
        <v>240</v>
      </c>
      <c r="F7" s="40">
        <f>Inputs!$D$20*Inputs!$C$36</f>
        <v>108</v>
      </c>
      <c r="G7" s="40">
        <f>Inputs!$D$17+Inputs!$D$18+Inputs!$D$21</f>
        <v>213</v>
      </c>
      <c r="H7" s="39">
        <f t="shared" si="0"/>
        <v>5047</v>
      </c>
      <c r="I7" s="39">
        <f>(Inputs!$C$30-Inputs!$C$28)/Inputs!$C$34</f>
        <v>390</v>
      </c>
      <c r="J7" s="39">
        <f t="shared" si="1"/>
        <v>5437</v>
      </c>
      <c r="K7" s="40">
        <f>J7*(1+Inputs!$C$35)</f>
        <v>6252.5499999999993</v>
      </c>
      <c r="L7" s="41">
        <f t="shared" si="2"/>
        <v>0.14999999999999986</v>
      </c>
      <c r="M7" s="40">
        <f t="shared" si="3"/>
        <v>1205.5499999999993</v>
      </c>
      <c r="N7" s="41">
        <f t="shared" si="4"/>
        <v>0.13043478260869554</v>
      </c>
    </row>
    <row r="8" spans="2:14" x14ac:dyDescent="0.3">
      <c r="B8" s="37" t="s">
        <v>83</v>
      </c>
      <c r="C8" s="40">
        <f>'Mix Design'!I8</f>
        <v>4854.8</v>
      </c>
      <c r="D8" s="40">
        <f>Inputs!$D$16</f>
        <v>95</v>
      </c>
      <c r="E8" s="40">
        <f>Inputs!$D$19</f>
        <v>240</v>
      </c>
      <c r="F8" s="40">
        <f>Inputs!$D$20*Inputs!$C$36</f>
        <v>108</v>
      </c>
      <c r="G8" s="40">
        <f>Inputs!$D$17+Inputs!$D$18+Inputs!$D$21</f>
        <v>213</v>
      </c>
      <c r="H8" s="39">
        <f t="shared" si="0"/>
        <v>5510.8</v>
      </c>
      <c r="I8" s="39">
        <f>(Inputs!$C$30-Inputs!$C$28)/Inputs!$C$34</f>
        <v>390</v>
      </c>
      <c r="J8" s="39">
        <f t="shared" si="1"/>
        <v>5900.8</v>
      </c>
      <c r="K8" s="40">
        <f>J8*(1+Inputs!$C$35)</f>
        <v>6785.92</v>
      </c>
      <c r="L8" s="41">
        <f t="shared" si="2"/>
        <v>0.14999999999999997</v>
      </c>
      <c r="M8" s="40">
        <f t="shared" si="3"/>
        <v>1275.1199999999999</v>
      </c>
      <c r="N8" s="41">
        <f t="shared" si="4"/>
        <v>0.13043478260869565</v>
      </c>
    </row>
    <row r="9" spans="2:14" x14ac:dyDescent="0.3">
      <c r="B9" s="37" t="s">
        <v>84</v>
      </c>
      <c r="C9" s="40">
        <f>'Mix Design'!I9</f>
        <v>5172.3500000000004</v>
      </c>
      <c r="D9" s="40">
        <f>Inputs!$D$16</f>
        <v>95</v>
      </c>
      <c r="E9" s="40">
        <f>Inputs!$D$19</f>
        <v>240</v>
      </c>
      <c r="F9" s="40">
        <f>Inputs!$D$20*Inputs!$C$36</f>
        <v>108</v>
      </c>
      <c r="G9" s="40">
        <f>Inputs!$D$17+Inputs!$D$18+Inputs!$D$21</f>
        <v>213</v>
      </c>
      <c r="H9" s="39">
        <f t="shared" si="0"/>
        <v>5828.35</v>
      </c>
      <c r="I9" s="39">
        <f>(Inputs!$C$30-Inputs!$C$28)/Inputs!$C$34</f>
        <v>390</v>
      </c>
      <c r="J9" s="39">
        <f t="shared" si="1"/>
        <v>6218.35</v>
      </c>
      <c r="K9" s="40">
        <f>J9*(1+Inputs!$C$35)</f>
        <v>7151.1025</v>
      </c>
      <c r="L9" s="41">
        <f t="shared" si="2"/>
        <v>0.14999999999999994</v>
      </c>
      <c r="M9" s="40">
        <f t="shared" si="3"/>
        <v>1322.7524999999996</v>
      </c>
      <c r="N9" s="41">
        <f t="shared" si="4"/>
        <v>0.13043478260869559</v>
      </c>
    </row>
    <row r="10" spans="2:14" x14ac:dyDescent="0.3">
      <c r="B10" s="37" t="s">
        <v>85</v>
      </c>
      <c r="C10" s="40">
        <f>'Mix Design'!I10</f>
        <v>5484.15</v>
      </c>
      <c r="D10" s="40">
        <f>Inputs!$D$16</f>
        <v>95</v>
      </c>
      <c r="E10" s="40">
        <f>Inputs!$D$19</f>
        <v>240</v>
      </c>
      <c r="F10" s="40">
        <f>Inputs!$D$20*Inputs!$C$36</f>
        <v>108</v>
      </c>
      <c r="G10" s="40">
        <f>Inputs!$D$17+Inputs!$D$18+Inputs!$D$21</f>
        <v>213</v>
      </c>
      <c r="H10" s="39">
        <f t="shared" si="0"/>
        <v>6140.15</v>
      </c>
      <c r="I10" s="39">
        <f>(Inputs!$C$30-Inputs!$C$28)/Inputs!$C$34</f>
        <v>390</v>
      </c>
      <c r="J10" s="39">
        <f t="shared" si="1"/>
        <v>6530.15</v>
      </c>
      <c r="K10" s="40">
        <f>J10*(1+Inputs!$C$35)</f>
        <v>7509.6724999999988</v>
      </c>
      <c r="L10" s="41">
        <f t="shared" si="2"/>
        <v>0.14999999999999988</v>
      </c>
      <c r="M10" s="40">
        <f t="shared" si="3"/>
        <v>1369.5224999999991</v>
      </c>
      <c r="N10" s="41">
        <f t="shared" si="4"/>
        <v>0.13043478260869557</v>
      </c>
    </row>
    <row r="11" spans="2:14" x14ac:dyDescent="0.3">
      <c r="B11" s="37" t="s">
        <v>86</v>
      </c>
      <c r="C11" s="40">
        <f>'Mix Design'!I11</f>
        <v>5799.4</v>
      </c>
      <c r="D11" s="40">
        <f>Inputs!$D$16</f>
        <v>95</v>
      </c>
      <c r="E11" s="40">
        <f>Inputs!$D$19</f>
        <v>240</v>
      </c>
      <c r="F11" s="40">
        <f>Inputs!$D$20*Inputs!$C$36</f>
        <v>108</v>
      </c>
      <c r="G11" s="40">
        <f>Inputs!$D$17+Inputs!$D$18+Inputs!$D$21</f>
        <v>213</v>
      </c>
      <c r="H11" s="39">
        <f t="shared" si="0"/>
        <v>6455.4</v>
      </c>
      <c r="I11" s="39">
        <f>(Inputs!$C$30-Inputs!$C$28)/Inputs!$C$34</f>
        <v>390</v>
      </c>
      <c r="J11" s="39">
        <f t="shared" si="1"/>
        <v>6845.4</v>
      </c>
      <c r="K11" s="40">
        <f>J11*(1+Inputs!$C$35)</f>
        <v>7872.2099999999991</v>
      </c>
      <c r="L11" s="41">
        <f t="shared" si="2"/>
        <v>0.14999999999999994</v>
      </c>
      <c r="M11" s="40">
        <f t="shared" si="3"/>
        <v>1416.8099999999995</v>
      </c>
      <c r="N11" s="41">
        <f t="shared" si="4"/>
        <v>0.13043478260869559</v>
      </c>
    </row>
    <row r="12" spans="2:14" x14ac:dyDescent="0.3">
      <c r="B12" s="37" t="s">
        <v>87</v>
      </c>
      <c r="C12" s="40">
        <f>'Mix Design'!I12</f>
        <v>6113.5</v>
      </c>
      <c r="D12" s="40">
        <f>Inputs!$D$16</f>
        <v>95</v>
      </c>
      <c r="E12" s="40">
        <f>Inputs!$D$19</f>
        <v>240</v>
      </c>
      <c r="F12" s="40">
        <f>Inputs!$D$20*Inputs!$C$36</f>
        <v>108</v>
      </c>
      <c r="G12" s="40">
        <f>Inputs!$D$17+Inputs!$D$18+Inputs!$D$21</f>
        <v>213</v>
      </c>
      <c r="H12" s="39">
        <f t="shared" si="0"/>
        <v>6769.5</v>
      </c>
      <c r="I12" s="39">
        <f>(Inputs!$C$30-Inputs!$C$28)/Inputs!$C$34</f>
        <v>390</v>
      </c>
      <c r="J12" s="39">
        <f t="shared" si="1"/>
        <v>7159.5</v>
      </c>
      <c r="K12" s="40">
        <f>J12*(1+Inputs!$C$35)</f>
        <v>8233.4249999999993</v>
      </c>
      <c r="L12" s="41">
        <f t="shared" si="2"/>
        <v>0.14999999999999991</v>
      </c>
      <c r="M12" s="40">
        <f t="shared" si="3"/>
        <v>1463.9249999999993</v>
      </c>
      <c r="N12" s="41">
        <f t="shared" si="4"/>
        <v>0.13043478260869557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E21"/>
  <sheetViews>
    <sheetView showGridLines="0" zoomScaleNormal="100" workbookViewId="0"/>
  </sheetViews>
  <sheetFormatPr defaultColWidth="8.6640625" defaultRowHeight="14.4" x14ac:dyDescent="0.3"/>
  <cols>
    <col min="2" max="2" width="22" customWidth="1"/>
    <col min="3" max="5" width="15" customWidth="1"/>
  </cols>
  <sheetData>
    <row r="2" spans="2:5" ht="19.8" x14ac:dyDescent="0.3">
      <c r="B2" s="42" t="s">
        <v>102</v>
      </c>
    </row>
    <row r="3" spans="2:5" x14ac:dyDescent="0.3">
      <c r="B3" s="43" t="s">
        <v>103</v>
      </c>
    </row>
    <row r="5" spans="2:5" ht="15.6" x14ac:dyDescent="0.3">
      <c r="B5" s="44" t="s">
        <v>104</v>
      </c>
    </row>
    <row r="6" spans="2:5" ht="30" customHeight="1" x14ac:dyDescent="0.3">
      <c r="B6" s="27" t="s">
        <v>105</v>
      </c>
      <c r="C6" s="27" t="s">
        <v>106</v>
      </c>
    </row>
    <row r="7" spans="2:5" x14ac:dyDescent="0.3">
      <c r="B7" s="34" t="s">
        <v>107</v>
      </c>
      <c r="C7" s="36">
        <v>0.1</v>
      </c>
    </row>
    <row r="8" spans="2:5" x14ac:dyDescent="0.3">
      <c r="B8" s="34" t="s">
        <v>108</v>
      </c>
      <c r="C8" s="36">
        <v>0.1</v>
      </c>
    </row>
    <row r="9" spans="2:5" x14ac:dyDescent="0.3">
      <c r="B9" s="34" t="s">
        <v>109</v>
      </c>
      <c r="C9" s="36">
        <v>0.15</v>
      </c>
    </row>
    <row r="10" spans="2:5" x14ac:dyDescent="0.3">
      <c r="B10" s="34" t="s">
        <v>110</v>
      </c>
      <c r="C10" s="36">
        <v>-0.05</v>
      </c>
    </row>
    <row r="11" spans="2:5" x14ac:dyDescent="0.3">
      <c r="B11" s="34" t="s">
        <v>111</v>
      </c>
      <c r="C11" s="36">
        <v>-0.2</v>
      </c>
    </row>
    <row r="14" spans="2:5" ht="15.6" x14ac:dyDescent="0.3">
      <c r="B14" s="44" t="s">
        <v>112</v>
      </c>
    </row>
    <row r="15" spans="2:5" ht="30" customHeight="1" x14ac:dyDescent="0.3">
      <c r="B15" s="27" t="s">
        <v>113</v>
      </c>
      <c r="C15" s="27" t="s">
        <v>114</v>
      </c>
      <c r="D15" s="27" t="s">
        <v>26</v>
      </c>
      <c r="E15" s="27" t="s">
        <v>27</v>
      </c>
    </row>
    <row r="16" spans="2:5" x14ac:dyDescent="0.3">
      <c r="B16" s="45" t="s">
        <v>95</v>
      </c>
      <c r="C16" s="40">
        <f>Costing!H9</f>
        <v>5828.35</v>
      </c>
      <c r="D16" s="40">
        <f>C16+'Mix Design'!C9*Inputs!$D$7*C7+Inputs!$D$16*C8+Inputs!$D$19*C9</f>
        <v>6147.4500000000007</v>
      </c>
      <c r="E16" s="40">
        <f>C16-'Mix Design'!C9*Inputs!$D$7*C7-Inputs!$D$16*C8-Inputs!$D$19*C9</f>
        <v>5509.25</v>
      </c>
    </row>
    <row r="17" spans="2:5" x14ac:dyDescent="0.3">
      <c r="B17" s="46" t="s">
        <v>96</v>
      </c>
      <c r="C17" s="40">
        <f>Costing!I9</f>
        <v>390</v>
      </c>
      <c r="D17" s="40">
        <f>Inputs!$C$30/(Inputs!$C$34*(1+C11))+(Costing!I9-Inputs!$C$30/Inputs!$C$34)</f>
        <v>502.5</v>
      </c>
      <c r="E17" s="40">
        <f>Inputs!$C$30/(Inputs!$C$34*(1-C11))+(Costing!I9-Inputs!$C$30/Inputs!$C$34)</f>
        <v>315</v>
      </c>
    </row>
    <row r="18" spans="2:5" x14ac:dyDescent="0.3">
      <c r="B18" s="45" t="s">
        <v>97</v>
      </c>
      <c r="C18" s="40">
        <f>C16+C17</f>
        <v>6218.35</v>
      </c>
      <c r="D18" s="40">
        <f>D16+D17</f>
        <v>6649.9500000000007</v>
      </c>
      <c r="E18" s="40">
        <f>E16+E17</f>
        <v>5824.25</v>
      </c>
    </row>
    <row r="19" spans="2:5" x14ac:dyDescent="0.3">
      <c r="B19" s="46" t="s">
        <v>98</v>
      </c>
      <c r="C19" s="40">
        <f>Costing!K9</f>
        <v>7151.1025</v>
      </c>
      <c r="D19" s="40">
        <f>C19*(1+C10)</f>
        <v>6793.5473750000001</v>
      </c>
      <c r="E19" s="40">
        <f>C19*(1-C10)</f>
        <v>7508.6576249999998</v>
      </c>
    </row>
    <row r="20" spans="2:5" x14ac:dyDescent="0.3">
      <c r="B20" s="45" t="s">
        <v>100</v>
      </c>
      <c r="C20" s="40">
        <f>C19-C16</f>
        <v>1322.7524999999996</v>
      </c>
      <c r="D20" s="40">
        <f>D19-D16</f>
        <v>646.09737499999937</v>
      </c>
      <c r="E20" s="40">
        <f>E19-E16</f>
        <v>1999.4076249999998</v>
      </c>
    </row>
    <row r="21" spans="2:5" x14ac:dyDescent="0.3">
      <c r="B21" s="46" t="s">
        <v>101</v>
      </c>
      <c r="C21" s="41">
        <f>IFERROR((C19-C18)/C19,0)</f>
        <v>0.13043478260869559</v>
      </c>
      <c r="D21" s="41">
        <f>IFERROR((D19-D18)/D19,0)</f>
        <v>2.1137318557375832E-2</v>
      </c>
      <c r="E21" s="41">
        <f>IFERROR((E19-E18)/E19,0)</f>
        <v>0.22432872946447599</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L13"/>
  <sheetViews>
    <sheetView showGridLines="0" zoomScaleNormal="100" workbookViewId="0">
      <selection activeCell="E23" sqref="E23"/>
    </sheetView>
  </sheetViews>
  <sheetFormatPr defaultColWidth="8.6640625" defaultRowHeight="14.4" x14ac:dyDescent="0.3"/>
  <cols>
    <col min="2" max="2" width="8" customWidth="1"/>
    <col min="3" max="3" width="13" customWidth="1"/>
    <col min="4" max="4" width="12" customWidth="1"/>
    <col min="5" max="5" width="16" customWidth="1"/>
    <col min="6" max="7" width="15" customWidth="1"/>
    <col min="8" max="8" width="14" customWidth="1"/>
    <col min="9" max="9" width="15" customWidth="1"/>
    <col min="10" max="10" width="12" customWidth="1"/>
    <col min="11" max="11" width="15" customWidth="1"/>
    <col min="12" max="12" width="10" customWidth="1"/>
  </cols>
  <sheetData>
    <row r="2" spans="2:12" ht="19.8" x14ac:dyDescent="0.3">
      <c r="B2" s="42" t="s">
        <v>115</v>
      </c>
    </row>
    <row r="3" spans="2:12" x14ac:dyDescent="0.3">
      <c r="B3" s="43" t="s">
        <v>116</v>
      </c>
    </row>
    <row r="5" spans="2:12" ht="30" customHeight="1" x14ac:dyDescent="0.3">
      <c r="B5" s="27" t="s">
        <v>15</v>
      </c>
      <c r="C5" s="27" t="s">
        <v>117</v>
      </c>
      <c r="D5" s="27" t="s">
        <v>118</v>
      </c>
      <c r="E5" s="27" t="s">
        <v>119</v>
      </c>
      <c r="F5" s="27" t="s">
        <v>120</v>
      </c>
      <c r="G5" s="27" t="s">
        <v>121</v>
      </c>
      <c r="H5" s="27" t="s">
        <v>61</v>
      </c>
      <c r="I5" s="27" t="s">
        <v>122</v>
      </c>
      <c r="J5" s="27" t="s">
        <v>123</v>
      </c>
      <c r="K5" s="27" t="s">
        <v>124</v>
      </c>
      <c r="L5" s="27" t="s">
        <v>17</v>
      </c>
    </row>
    <row r="6" spans="2:12" x14ac:dyDescent="0.3">
      <c r="B6" s="37" t="s">
        <v>81</v>
      </c>
      <c r="C6" s="47">
        <v>300</v>
      </c>
      <c r="D6" s="40">
        <f>Costing!K6</f>
        <v>5806.3499999999995</v>
      </c>
      <c r="E6" s="48">
        <f t="shared" ref="E6:E12" si="0">C6*D6</f>
        <v>1741904.9999999998</v>
      </c>
      <c r="F6" s="48">
        <f>C6*Costing!H6</f>
        <v>1397700</v>
      </c>
      <c r="G6" s="48">
        <f t="shared" ref="G6:G12" si="1">E6-F6</f>
        <v>344204.99999999977</v>
      </c>
      <c r="H6" s="48">
        <f>C6*(Inputs!$C$30-Inputs!$C$28)/Inputs!$C$34</f>
        <v>117000</v>
      </c>
      <c r="I6" s="48">
        <f t="shared" ref="I6:I12" si="2">G6-H6</f>
        <v>227204.99999999977</v>
      </c>
      <c r="J6" s="48">
        <f>C6*Inputs!$C$28/Inputs!$C$34</f>
        <v>18000</v>
      </c>
      <c r="K6" s="48">
        <f t="shared" ref="K6:K12" si="3">I6-J6</f>
        <v>209204.99999999977</v>
      </c>
      <c r="L6" s="41">
        <f t="shared" ref="L6:L13" si="4">IFERROR(K6/E6,0)</f>
        <v>0.12010126843886423</v>
      </c>
    </row>
    <row r="7" spans="2:12" x14ac:dyDescent="0.3">
      <c r="B7" s="37" t="s">
        <v>82</v>
      </c>
      <c r="C7" s="47">
        <v>600</v>
      </c>
      <c r="D7" s="40">
        <f>Costing!K7</f>
        <v>6252.5499999999993</v>
      </c>
      <c r="E7" s="48">
        <f t="shared" si="0"/>
        <v>3751529.9999999995</v>
      </c>
      <c r="F7" s="48">
        <f>C7*Costing!H7</f>
        <v>3028200</v>
      </c>
      <c r="G7" s="48">
        <f t="shared" si="1"/>
        <v>723329.99999999953</v>
      </c>
      <c r="H7" s="48">
        <f>C7*(Inputs!$C$30-Inputs!$C$28)/Inputs!$C$34</f>
        <v>234000</v>
      </c>
      <c r="I7" s="48">
        <f t="shared" si="2"/>
        <v>489329.99999999953</v>
      </c>
      <c r="J7" s="48">
        <f>C7*Inputs!$C$28/Inputs!$C$34</f>
        <v>36000</v>
      </c>
      <c r="K7" s="48">
        <f t="shared" si="3"/>
        <v>453329.99999999953</v>
      </c>
      <c r="L7" s="41">
        <f t="shared" si="4"/>
        <v>0.12083869781129289</v>
      </c>
    </row>
    <row r="8" spans="2:12" x14ac:dyDescent="0.3">
      <c r="B8" s="37" t="s">
        <v>83</v>
      </c>
      <c r="C8" s="47">
        <v>1100</v>
      </c>
      <c r="D8" s="40">
        <f>Costing!K8</f>
        <v>6785.92</v>
      </c>
      <c r="E8" s="48">
        <f t="shared" si="0"/>
        <v>7464512</v>
      </c>
      <c r="F8" s="48">
        <f>C8*Costing!H8</f>
        <v>6061880</v>
      </c>
      <c r="G8" s="48">
        <f t="shared" si="1"/>
        <v>1402632</v>
      </c>
      <c r="H8" s="48">
        <f>C8*(Inputs!$C$30-Inputs!$C$28)/Inputs!$C$34</f>
        <v>429000</v>
      </c>
      <c r="I8" s="48">
        <f t="shared" si="2"/>
        <v>973632</v>
      </c>
      <c r="J8" s="48">
        <f>C8*Inputs!$C$28/Inputs!$C$34</f>
        <v>66000</v>
      </c>
      <c r="K8" s="48">
        <f t="shared" si="3"/>
        <v>907632</v>
      </c>
      <c r="L8" s="41">
        <f t="shared" si="4"/>
        <v>0.12159294539281336</v>
      </c>
    </row>
    <row r="9" spans="2:12" x14ac:dyDescent="0.3">
      <c r="B9" s="37" t="s">
        <v>84</v>
      </c>
      <c r="C9" s="47">
        <v>900</v>
      </c>
      <c r="D9" s="40">
        <f>Costing!K9</f>
        <v>7151.1025</v>
      </c>
      <c r="E9" s="48">
        <f t="shared" si="0"/>
        <v>6435992.25</v>
      </c>
      <c r="F9" s="48">
        <f>C9*Costing!H9</f>
        <v>5245515</v>
      </c>
      <c r="G9" s="48">
        <f t="shared" si="1"/>
        <v>1190477.25</v>
      </c>
      <c r="H9" s="48">
        <f>C9*(Inputs!$C$30-Inputs!$C$28)/Inputs!$C$34</f>
        <v>351000</v>
      </c>
      <c r="I9" s="48">
        <f t="shared" si="2"/>
        <v>839477.25</v>
      </c>
      <c r="J9" s="48">
        <f>C9*Inputs!$C$28/Inputs!$C$34</f>
        <v>54000</v>
      </c>
      <c r="K9" s="48">
        <f t="shared" si="3"/>
        <v>785477.25</v>
      </c>
      <c r="L9" s="41">
        <f t="shared" si="4"/>
        <v>0.12204446796840068</v>
      </c>
    </row>
    <row r="10" spans="2:12" x14ac:dyDescent="0.3">
      <c r="B10" s="37" t="s">
        <v>85</v>
      </c>
      <c r="C10" s="47">
        <v>600</v>
      </c>
      <c r="D10" s="40">
        <f>Costing!K10</f>
        <v>7509.6724999999988</v>
      </c>
      <c r="E10" s="48">
        <f t="shared" si="0"/>
        <v>4505803.4999999991</v>
      </c>
      <c r="F10" s="48">
        <f>C10*Costing!H10</f>
        <v>3684090</v>
      </c>
      <c r="G10" s="48">
        <f t="shared" si="1"/>
        <v>821713.49999999907</v>
      </c>
      <c r="H10" s="48">
        <f>C10*(Inputs!$C$30-Inputs!$C$28)/Inputs!$C$34</f>
        <v>234000</v>
      </c>
      <c r="I10" s="48">
        <f t="shared" si="2"/>
        <v>587713.49999999907</v>
      </c>
      <c r="J10" s="48">
        <f>C10*Inputs!$C$28/Inputs!$C$34</f>
        <v>36000</v>
      </c>
      <c r="K10" s="48">
        <f t="shared" si="3"/>
        <v>551713.49999999907</v>
      </c>
      <c r="L10" s="41">
        <f t="shared" si="4"/>
        <v>0.12244508665324602</v>
      </c>
    </row>
    <row r="11" spans="2:12" x14ac:dyDescent="0.3">
      <c r="B11" s="37" t="s">
        <v>86</v>
      </c>
      <c r="C11" s="47">
        <v>300</v>
      </c>
      <c r="D11" s="40">
        <f>Costing!K11</f>
        <v>7872.2099999999991</v>
      </c>
      <c r="E11" s="48">
        <f t="shared" si="0"/>
        <v>2361662.9999999995</v>
      </c>
      <c r="F11" s="48">
        <f>C11*Costing!H11</f>
        <v>1936620</v>
      </c>
      <c r="G11" s="48">
        <f t="shared" si="1"/>
        <v>425042.99999999953</v>
      </c>
      <c r="H11" s="48">
        <f>C11*(Inputs!$C$30-Inputs!$C$28)/Inputs!$C$34</f>
        <v>117000</v>
      </c>
      <c r="I11" s="48">
        <f t="shared" si="2"/>
        <v>308042.99999999953</v>
      </c>
      <c r="J11" s="48">
        <f>C11*Inputs!$C$28/Inputs!$C$34</f>
        <v>18000</v>
      </c>
      <c r="K11" s="48">
        <f t="shared" si="3"/>
        <v>290042.99999999953</v>
      </c>
      <c r="L11" s="41">
        <f t="shared" si="4"/>
        <v>0.12281303471325061</v>
      </c>
    </row>
    <row r="12" spans="2:12" x14ac:dyDescent="0.3">
      <c r="B12" s="37" t="s">
        <v>87</v>
      </c>
      <c r="C12" s="47">
        <v>200</v>
      </c>
      <c r="D12" s="40">
        <f>Costing!K12</f>
        <v>8233.4249999999993</v>
      </c>
      <c r="E12" s="48">
        <f t="shared" si="0"/>
        <v>1646684.9999999998</v>
      </c>
      <c r="F12" s="48">
        <f>C12*Costing!H12</f>
        <v>1353900</v>
      </c>
      <c r="G12" s="48">
        <f t="shared" si="1"/>
        <v>292784.99999999977</v>
      </c>
      <c r="H12" s="48">
        <f>C12*(Inputs!$C$30-Inputs!$C$28)/Inputs!$C$34</f>
        <v>78000</v>
      </c>
      <c r="I12" s="48">
        <f t="shared" si="2"/>
        <v>214784.99999999977</v>
      </c>
      <c r="J12" s="48">
        <f>C12*Inputs!$C$28/Inputs!$C$34</f>
        <v>12000</v>
      </c>
      <c r="K12" s="48">
        <f t="shared" si="3"/>
        <v>202784.99999999977</v>
      </c>
      <c r="L12" s="41">
        <f t="shared" si="4"/>
        <v>0.12314741435064981</v>
      </c>
    </row>
    <row r="13" spans="2:12" x14ac:dyDescent="0.3">
      <c r="B13" s="49" t="s">
        <v>125</v>
      </c>
      <c r="C13" s="50">
        <f>SUM(C6:C12)</f>
        <v>4000</v>
      </c>
      <c r="D13" s="51"/>
      <c r="E13" s="52">
        <f t="shared" ref="E13:K13" si="5">SUM(E6:E12)</f>
        <v>27908090.75</v>
      </c>
      <c r="F13" s="52">
        <f t="shared" si="5"/>
        <v>22707905</v>
      </c>
      <c r="G13" s="52">
        <f t="shared" si="5"/>
        <v>5200185.7499999981</v>
      </c>
      <c r="H13" s="52">
        <f t="shared" si="5"/>
        <v>1560000</v>
      </c>
      <c r="I13" s="52">
        <f t="shared" si="5"/>
        <v>3640185.7499999972</v>
      </c>
      <c r="J13" s="52">
        <f t="shared" si="5"/>
        <v>240000</v>
      </c>
      <c r="K13" s="52">
        <f t="shared" si="5"/>
        <v>3400185.7499999972</v>
      </c>
      <c r="L13" s="53">
        <f t="shared" si="4"/>
        <v>0.12183512589445042</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05F42-3D1B-4978-A906-8F862DCF34F3}">
  <dimension ref="A1:H46"/>
  <sheetViews>
    <sheetView topLeftCell="A13" workbookViewId="0">
      <selection activeCell="J14" sqref="J14"/>
    </sheetView>
  </sheetViews>
  <sheetFormatPr defaultColWidth="8.6640625" defaultRowHeight="14.4" x14ac:dyDescent="0.3"/>
  <cols>
    <col min="1" max="1" width="32" customWidth="1"/>
    <col min="2" max="5" width="13" customWidth="1"/>
    <col min="6" max="6" width="2" customWidth="1"/>
    <col min="7" max="7" width="30" customWidth="1"/>
    <col min="8" max="8" width="16" customWidth="1"/>
  </cols>
  <sheetData>
    <row r="1" spans="1:8" ht="30" customHeight="1" x14ac:dyDescent="0.3">
      <c r="A1" s="106" t="s">
        <v>132</v>
      </c>
      <c r="B1" s="100"/>
      <c r="C1" s="100"/>
      <c r="D1" s="100"/>
      <c r="E1" s="100"/>
      <c r="F1" s="100"/>
      <c r="G1" s="100"/>
      <c r="H1" s="100"/>
    </row>
    <row r="2" spans="1:8" ht="15.75" customHeight="1" x14ac:dyDescent="0.3">
      <c r="A2" s="107" t="s">
        <v>133</v>
      </c>
      <c r="B2" s="100"/>
      <c r="C2" s="100"/>
      <c r="D2" s="100"/>
      <c r="E2" s="100"/>
      <c r="F2" s="100"/>
      <c r="G2" s="100"/>
      <c r="H2" s="100"/>
    </row>
    <row r="4" spans="1:8" ht="19.5" customHeight="1" x14ac:dyDescent="0.3">
      <c r="A4" s="98" t="s">
        <v>134</v>
      </c>
      <c r="B4" s="100"/>
      <c r="C4" s="100"/>
      <c r="D4" s="100"/>
      <c r="E4" s="97"/>
      <c r="G4" s="98" t="s">
        <v>135</v>
      </c>
      <c r="H4" s="97"/>
    </row>
    <row r="5" spans="1:8" ht="18" customHeight="1" x14ac:dyDescent="0.3">
      <c r="A5" s="54" t="s">
        <v>39</v>
      </c>
      <c r="B5" s="54" t="s">
        <v>136</v>
      </c>
      <c r="C5" s="54" t="s">
        <v>40</v>
      </c>
      <c r="D5" s="55" t="s">
        <v>137</v>
      </c>
      <c r="E5" s="54"/>
      <c r="G5" s="54" t="s">
        <v>49</v>
      </c>
      <c r="H5" s="54" t="s">
        <v>138</v>
      </c>
    </row>
    <row r="6" spans="1:8" ht="26.4" customHeight="1" x14ac:dyDescent="0.3">
      <c r="A6" s="56" t="s">
        <v>30</v>
      </c>
      <c r="B6" s="57">
        <v>6</v>
      </c>
      <c r="C6" s="58" t="s">
        <v>139</v>
      </c>
      <c r="D6" s="58" t="s">
        <v>140</v>
      </c>
      <c r="E6" s="58" t="s">
        <v>141</v>
      </c>
      <c r="G6" s="56" t="s">
        <v>142</v>
      </c>
      <c r="H6" s="59">
        <v>81000</v>
      </c>
    </row>
    <row r="7" spans="1:8" ht="26.4" customHeight="1" x14ac:dyDescent="0.3">
      <c r="A7" s="60" t="s">
        <v>31</v>
      </c>
      <c r="B7" s="57">
        <v>1</v>
      </c>
      <c r="C7" s="61" t="s">
        <v>139</v>
      </c>
      <c r="D7" s="61" t="s">
        <v>143</v>
      </c>
      <c r="E7" s="61" t="s">
        <v>144</v>
      </c>
      <c r="G7" s="60" t="s">
        <v>145</v>
      </c>
      <c r="H7" s="59">
        <v>28000</v>
      </c>
    </row>
    <row r="8" spans="1:8" ht="26.4" customHeight="1" x14ac:dyDescent="0.3">
      <c r="A8" s="56" t="s">
        <v>146</v>
      </c>
      <c r="B8" s="57">
        <v>1</v>
      </c>
      <c r="C8" s="58" t="s">
        <v>139</v>
      </c>
      <c r="D8" s="58" t="s">
        <v>147</v>
      </c>
      <c r="E8" s="58" t="s">
        <v>148</v>
      </c>
      <c r="G8" s="56" t="s">
        <v>149</v>
      </c>
      <c r="H8" s="59">
        <v>30000</v>
      </c>
    </row>
    <row r="9" spans="1:8" ht="26.4" customHeight="1" x14ac:dyDescent="0.3">
      <c r="A9" s="60" t="s">
        <v>45</v>
      </c>
      <c r="B9" s="57">
        <v>96</v>
      </c>
      <c r="C9" s="61" t="s">
        <v>139</v>
      </c>
      <c r="D9" s="61" t="s">
        <v>150</v>
      </c>
      <c r="E9" s="61" t="s">
        <v>151</v>
      </c>
      <c r="G9" s="60" t="s">
        <v>152</v>
      </c>
      <c r="H9" s="59">
        <v>18000</v>
      </c>
    </row>
    <row r="10" spans="1:8" ht="18" customHeight="1" x14ac:dyDescent="0.3">
      <c r="A10" s="54" t="s">
        <v>153</v>
      </c>
      <c r="B10" s="54" t="s">
        <v>154</v>
      </c>
      <c r="C10" s="54" t="s">
        <v>40</v>
      </c>
      <c r="D10" s="102" t="s">
        <v>155</v>
      </c>
      <c r="E10" s="97"/>
      <c r="G10" s="56" t="s">
        <v>156</v>
      </c>
      <c r="H10" s="59">
        <v>30000</v>
      </c>
    </row>
    <row r="11" spans="1:8" ht="15" customHeight="1" x14ac:dyDescent="0.3">
      <c r="A11" s="56" t="s">
        <v>157</v>
      </c>
      <c r="B11" s="62">
        <v>3.5</v>
      </c>
      <c r="C11" s="58" t="s">
        <v>158</v>
      </c>
      <c r="D11" s="104" t="s">
        <v>159</v>
      </c>
      <c r="E11" s="97"/>
      <c r="G11" s="60" t="s">
        <v>160</v>
      </c>
      <c r="H11" s="59">
        <v>2000</v>
      </c>
    </row>
    <row r="12" spans="1:8" ht="15" customHeight="1" x14ac:dyDescent="0.3">
      <c r="A12" s="60" t="s">
        <v>161</v>
      </c>
      <c r="B12" s="62">
        <v>7.5</v>
      </c>
      <c r="C12" s="61" t="s">
        <v>162</v>
      </c>
      <c r="D12" s="103" t="s">
        <v>163</v>
      </c>
      <c r="E12" s="97"/>
      <c r="G12" s="56" t="s">
        <v>59</v>
      </c>
      <c r="H12" s="59">
        <v>25000</v>
      </c>
    </row>
    <row r="13" spans="1:8" ht="23.85" customHeight="1" x14ac:dyDescent="0.3">
      <c r="A13" s="56" t="s">
        <v>164</v>
      </c>
      <c r="B13" s="57">
        <v>98</v>
      </c>
      <c r="C13" s="58" t="s">
        <v>165</v>
      </c>
      <c r="D13" s="104" t="s">
        <v>166</v>
      </c>
      <c r="E13" s="97"/>
      <c r="G13" s="63" t="s">
        <v>167</v>
      </c>
      <c r="H13" s="59">
        <v>50000</v>
      </c>
    </row>
    <row r="14" spans="1:8" x14ac:dyDescent="0.3">
      <c r="A14" s="64" t="s">
        <v>168</v>
      </c>
      <c r="B14" s="65">
        <f>ROUND((B11*B13)/B12,2)</f>
        <v>45.73</v>
      </c>
      <c r="C14" s="66" t="s">
        <v>169</v>
      </c>
      <c r="D14" s="105" t="s">
        <v>170</v>
      </c>
      <c r="E14" s="97"/>
      <c r="G14" s="60" t="s">
        <v>171</v>
      </c>
      <c r="H14" s="59">
        <v>10000</v>
      </c>
    </row>
    <row r="15" spans="1:8" ht="24" customHeight="1" x14ac:dyDescent="0.3">
      <c r="A15" s="60" t="s">
        <v>172</v>
      </c>
      <c r="B15" s="57">
        <v>65</v>
      </c>
      <c r="C15" s="61" t="s">
        <v>169</v>
      </c>
      <c r="D15" s="103" t="s">
        <v>173</v>
      </c>
      <c r="E15" s="97"/>
      <c r="G15" s="67" t="s">
        <v>174</v>
      </c>
      <c r="H15" s="68">
        <f>SUM(H6:H14)</f>
        <v>274000</v>
      </c>
    </row>
    <row r="16" spans="1:8" ht="19.5" customHeight="1" x14ac:dyDescent="0.3">
      <c r="A16" s="56" t="s">
        <v>175</v>
      </c>
      <c r="B16" s="57">
        <v>45</v>
      </c>
      <c r="C16" s="58" t="s">
        <v>169</v>
      </c>
      <c r="D16" s="104" t="s">
        <v>176</v>
      </c>
      <c r="E16" s="97"/>
    </row>
    <row r="17" spans="1:8" ht="18" customHeight="1" x14ac:dyDescent="0.3">
      <c r="A17" s="60" t="s">
        <v>177</v>
      </c>
      <c r="B17" s="57">
        <v>5</v>
      </c>
      <c r="C17" s="61" t="s">
        <v>169</v>
      </c>
      <c r="D17" s="103" t="s">
        <v>178</v>
      </c>
      <c r="E17" s="97"/>
      <c r="G17" s="98" t="s">
        <v>179</v>
      </c>
      <c r="H17" s="97"/>
    </row>
    <row r="18" spans="1:8" ht="19.5" customHeight="1" x14ac:dyDescent="0.3">
      <c r="A18" s="67" t="s">
        <v>180</v>
      </c>
      <c r="B18" s="69">
        <f>ROUND(B14+B15+B16+B17,2)</f>
        <v>160.72999999999999</v>
      </c>
      <c r="C18" s="67" t="s">
        <v>169</v>
      </c>
      <c r="D18" s="99" t="s">
        <v>181</v>
      </c>
      <c r="E18" s="97"/>
      <c r="G18" s="54" t="s">
        <v>182</v>
      </c>
      <c r="H18" s="54" t="s">
        <v>183</v>
      </c>
    </row>
    <row r="19" spans="1:8" x14ac:dyDescent="0.3">
      <c r="G19" s="56" t="s">
        <v>184</v>
      </c>
      <c r="H19" s="59">
        <v>54507</v>
      </c>
    </row>
    <row r="20" spans="1:8" ht="19.5" customHeight="1" x14ac:dyDescent="0.3">
      <c r="A20" s="98" t="s">
        <v>185</v>
      </c>
      <c r="B20" s="100"/>
      <c r="C20" s="100"/>
      <c r="D20" s="100"/>
      <c r="E20" s="97"/>
      <c r="G20" s="60" t="s">
        <v>186</v>
      </c>
      <c r="H20" s="59">
        <v>87110</v>
      </c>
    </row>
    <row r="21" spans="1:8" ht="18" customHeight="1" x14ac:dyDescent="0.3">
      <c r="A21" s="54" t="s">
        <v>187</v>
      </c>
      <c r="B21" s="54" t="s">
        <v>81</v>
      </c>
      <c r="C21" s="54" t="s">
        <v>82</v>
      </c>
      <c r="D21" s="54" t="s">
        <v>83</v>
      </c>
      <c r="E21" s="54" t="s">
        <v>84</v>
      </c>
      <c r="G21" s="56" t="s">
        <v>188</v>
      </c>
      <c r="H21" s="59">
        <v>16815</v>
      </c>
    </row>
    <row r="22" spans="1:8" x14ac:dyDescent="0.3">
      <c r="A22" s="56" t="s">
        <v>189</v>
      </c>
      <c r="B22" s="71">
        <f>ROUND(B6*200+B7*850+B8*1110+B9*1.3,2)</f>
        <v>3284.8</v>
      </c>
      <c r="C22" s="71">
        <f>ROUND(B6*260+B7*760+B8*1140+B9*1.4,2)</f>
        <v>3594.4</v>
      </c>
      <c r="D22" s="71">
        <f>ROUND(B6*300+B7*860+B8*1110+B9*1.6,2)</f>
        <v>3923.6</v>
      </c>
      <c r="E22" s="71">
        <f>ROUND(B6*320+B7*850+B8*1110+B9*1.7,2)</f>
        <v>4043.2</v>
      </c>
      <c r="G22" s="60" t="s">
        <v>190</v>
      </c>
      <c r="H22" s="59">
        <v>0</v>
      </c>
    </row>
    <row r="23" spans="1:8" x14ac:dyDescent="0.3">
      <c r="A23" s="60" t="s">
        <v>191</v>
      </c>
      <c r="B23" s="72">
        <f>B18</f>
        <v>160.72999999999999</v>
      </c>
      <c r="C23" s="72">
        <f>B18</f>
        <v>160.72999999999999</v>
      </c>
      <c r="D23" s="72">
        <f>B18</f>
        <v>160.72999999999999</v>
      </c>
      <c r="E23" s="72">
        <f>B18</f>
        <v>160.72999999999999</v>
      </c>
      <c r="G23" s="56" t="s">
        <v>192</v>
      </c>
      <c r="H23" s="59">
        <v>0</v>
      </c>
    </row>
    <row r="24" spans="1:8" ht="19.5" customHeight="1" x14ac:dyDescent="0.3">
      <c r="A24" s="56" t="s">
        <v>193</v>
      </c>
      <c r="B24" s="71">
        <f>$H$39</f>
        <v>1336.54</v>
      </c>
      <c r="C24" s="71">
        <f>$H$39</f>
        <v>1336.54</v>
      </c>
      <c r="D24" s="71">
        <f>$H$39</f>
        <v>1336.54</v>
      </c>
      <c r="E24" s="71">
        <f>$H$39</f>
        <v>1336.54</v>
      </c>
      <c r="G24" s="60" t="s">
        <v>194</v>
      </c>
      <c r="H24" s="59">
        <v>102185</v>
      </c>
    </row>
    <row r="25" spans="1:8" ht="21.75" customHeight="1" x14ac:dyDescent="0.3">
      <c r="A25" s="73" t="s">
        <v>195</v>
      </c>
      <c r="B25" s="74">
        <f>ROUND(B22+B23+B24,2)</f>
        <v>4782.07</v>
      </c>
      <c r="C25" s="74">
        <f>ROUND(C22+C23+C24,2)</f>
        <v>5091.67</v>
      </c>
      <c r="D25" s="74">
        <f>ROUND(D22+D23+D24,2)</f>
        <v>5420.87</v>
      </c>
      <c r="E25" s="74">
        <f>ROUND(E22+E23+E24,2)</f>
        <v>5540.47</v>
      </c>
      <c r="G25" s="73" t="s">
        <v>196</v>
      </c>
      <c r="H25" s="75">
        <f>SUM(H19:H24)</f>
        <v>260617</v>
      </c>
    </row>
    <row r="26" spans="1:8" ht="19.5" customHeight="1" x14ac:dyDescent="0.3"/>
    <row r="27" spans="1:8" ht="19.5" customHeight="1" x14ac:dyDescent="0.3">
      <c r="A27" s="98" t="s">
        <v>197</v>
      </c>
      <c r="B27" s="100"/>
      <c r="C27" s="100"/>
      <c r="D27" s="100"/>
      <c r="E27" s="97"/>
      <c r="G27" s="101" t="s">
        <v>198</v>
      </c>
      <c r="H27" s="97"/>
    </row>
    <row r="28" spans="1:8" ht="18" customHeight="1" x14ac:dyDescent="0.3">
      <c r="A28" s="54"/>
      <c r="B28" s="54" t="s">
        <v>81</v>
      </c>
      <c r="C28" s="54" t="s">
        <v>82</v>
      </c>
      <c r="D28" s="54" t="s">
        <v>83</v>
      </c>
      <c r="E28" s="54" t="s">
        <v>84</v>
      </c>
      <c r="G28" s="76" t="s">
        <v>199</v>
      </c>
      <c r="H28" s="59">
        <v>50000</v>
      </c>
    </row>
    <row r="29" spans="1:8" ht="19.5" customHeight="1" x14ac:dyDescent="0.3">
      <c r="A29" s="77" t="s">
        <v>200</v>
      </c>
      <c r="B29" s="78">
        <v>0.1</v>
      </c>
      <c r="C29" s="78">
        <v>0.1</v>
      </c>
      <c r="D29" s="78">
        <v>0.1</v>
      </c>
      <c r="E29" s="78">
        <v>0.1</v>
      </c>
      <c r="G29" s="76" t="s">
        <v>201</v>
      </c>
      <c r="H29" s="79">
        <v>30</v>
      </c>
    </row>
    <row r="30" spans="1:8" ht="24" customHeight="1" x14ac:dyDescent="0.3">
      <c r="A30" s="80" t="s">
        <v>202</v>
      </c>
      <c r="B30" s="81">
        <f>ROUND(B25*(1+B29),0)</f>
        <v>5260</v>
      </c>
      <c r="C30" s="81">
        <f>ROUND(C25*(1+C29),0)</f>
        <v>5601</v>
      </c>
      <c r="D30" s="81">
        <f>ROUND(D25*(1+D29),0)</f>
        <v>5963</v>
      </c>
      <c r="E30" s="81">
        <f>ROUND(E25*(1+E29),0)</f>
        <v>6095</v>
      </c>
      <c r="G30" s="76" t="s">
        <v>203</v>
      </c>
      <c r="H30" s="59">
        <v>10000</v>
      </c>
    </row>
    <row r="31" spans="1:8" x14ac:dyDescent="0.3">
      <c r="A31" s="82" t="s">
        <v>204</v>
      </c>
      <c r="B31" s="83">
        <f>ROUND(B30-B25,2)</f>
        <v>477.93</v>
      </c>
      <c r="C31" s="83">
        <f>ROUND(C30-C25,2)</f>
        <v>509.33</v>
      </c>
      <c r="D31" s="83">
        <f>ROUND(D30-D25,2)</f>
        <v>542.13</v>
      </c>
      <c r="E31" s="83">
        <f>ROUND(E30-E25,2)</f>
        <v>554.53</v>
      </c>
      <c r="G31" s="76" t="s">
        <v>205</v>
      </c>
      <c r="H31" s="79">
        <v>15</v>
      </c>
    </row>
    <row r="32" spans="1:8" ht="26.4" customHeight="1" x14ac:dyDescent="0.3">
      <c r="A32" s="70" t="s">
        <v>206</v>
      </c>
      <c r="B32" s="84">
        <f>ROUND(B31*$H$38/4,0)</f>
        <v>47793</v>
      </c>
      <c r="C32" s="84">
        <f>ROUND(C31*$H$38/4,0)</f>
        <v>50933</v>
      </c>
      <c r="D32" s="84">
        <f>ROUND(D31*$H$38/4,0)</f>
        <v>54213</v>
      </c>
      <c r="E32" s="84">
        <f>ROUND(E31*$H$38/4,0)</f>
        <v>55453</v>
      </c>
      <c r="G32" s="76" t="s">
        <v>207</v>
      </c>
      <c r="H32" s="85">
        <v>0.4</v>
      </c>
    </row>
    <row r="33" spans="1:8" ht="26.4" customHeight="1" x14ac:dyDescent="0.3">
      <c r="G33" s="66" t="s">
        <v>208</v>
      </c>
      <c r="H33" s="86">
        <f>ROUND(H31*H32*H30,0)</f>
        <v>60000</v>
      </c>
    </row>
    <row r="34" spans="1:8" ht="26.4" customHeight="1" x14ac:dyDescent="0.3">
      <c r="A34" s="87"/>
      <c r="B34" s="88"/>
      <c r="C34" s="88"/>
      <c r="D34" s="88"/>
      <c r="E34" s="89"/>
      <c r="G34" s="73" t="s">
        <v>209</v>
      </c>
      <c r="H34" s="75">
        <f>MAX(H28-H33,0)</f>
        <v>0</v>
      </c>
    </row>
    <row r="35" spans="1:8" ht="21.75" customHeight="1" x14ac:dyDescent="0.3">
      <c r="A35" s="90"/>
      <c r="B35" s="91"/>
      <c r="C35" s="92"/>
      <c r="D35" s="92"/>
      <c r="E35" s="93"/>
    </row>
    <row r="36" spans="1:8" ht="15" customHeight="1" x14ac:dyDescent="0.3">
      <c r="A36" s="90"/>
      <c r="B36" s="91"/>
      <c r="C36" s="92"/>
      <c r="D36" s="92"/>
      <c r="E36" s="93"/>
      <c r="G36" s="94" t="s">
        <v>210</v>
      </c>
      <c r="H36" s="95">
        <f>H15+H25</f>
        <v>534617</v>
      </c>
    </row>
    <row r="37" spans="1:8" ht="19.5" customHeight="1" x14ac:dyDescent="0.3">
      <c r="A37" s="90"/>
      <c r="B37" s="91"/>
      <c r="C37" s="92"/>
      <c r="D37" s="92"/>
      <c r="E37" s="93"/>
    </row>
    <row r="38" spans="1:8" ht="19.5" customHeight="1" x14ac:dyDescent="0.3">
      <c r="A38" s="90"/>
      <c r="B38" s="91"/>
      <c r="C38" s="92"/>
      <c r="D38" s="92"/>
      <c r="E38" s="93"/>
      <c r="G38" s="77" t="s">
        <v>211</v>
      </c>
      <c r="H38" s="79">
        <v>400</v>
      </c>
    </row>
    <row r="39" spans="1:8" ht="15" customHeight="1" x14ac:dyDescent="0.3">
      <c r="A39" s="90"/>
      <c r="B39" s="91"/>
      <c r="C39" s="92"/>
      <c r="D39" s="92"/>
      <c r="E39" s="93"/>
      <c r="G39" s="67" t="s">
        <v>212</v>
      </c>
      <c r="H39" s="69">
        <f>ROUND(H36/H38,2)</f>
        <v>1336.54</v>
      </c>
    </row>
    <row r="41" spans="1:8" ht="15" customHeight="1" x14ac:dyDescent="0.3">
      <c r="G41" s="102" t="s">
        <v>213</v>
      </c>
      <c r="H41" s="97"/>
    </row>
    <row r="42" spans="1:8" ht="22.35" customHeight="1" x14ac:dyDescent="0.3">
      <c r="G42" s="96" t="s">
        <v>214</v>
      </c>
      <c r="H42" s="97"/>
    </row>
    <row r="43" spans="1:8" ht="15" customHeight="1" x14ac:dyDescent="0.3">
      <c r="G43" s="96" t="s">
        <v>215</v>
      </c>
      <c r="H43" s="97"/>
    </row>
    <row r="44" spans="1:8" ht="15" customHeight="1" x14ac:dyDescent="0.3">
      <c r="G44" s="96" t="s">
        <v>216</v>
      </c>
      <c r="H44" s="97"/>
    </row>
    <row r="45" spans="1:8" ht="15" customHeight="1" x14ac:dyDescent="0.3">
      <c r="G45" s="96" t="s">
        <v>217</v>
      </c>
      <c r="H45" s="97"/>
    </row>
    <row r="46" spans="1:8" x14ac:dyDescent="0.3">
      <c r="G46" s="96" t="s">
        <v>218</v>
      </c>
      <c r="H46" s="97"/>
    </row>
  </sheetData>
  <mergeCells count="23">
    <mergeCell ref="D11:E11"/>
    <mergeCell ref="A1:H1"/>
    <mergeCell ref="A2:H2"/>
    <mergeCell ref="A4:E4"/>
    <mergeCell ref="G4:H4"/>
    <mergeCell ref="D10:E10"/>
    <mergeCell ref="G41:H41"/>
    <mergeCell ref="D12:E12"/>
    <mergeCell ref="D13:E13"/>
    <mergeCell ref="D14:E14"/>
    <mergeCell ref="D15:E15"/>
    <mergeCell ref="D16:E16"/>
    <mergeCell ref="D17:E17"/>
    <mergeCell ref="G17:H17"/>
    <mergeCell ref="D18:E18"/>
    <mergeCell ref="A20:E20"/>
    <mergeCell ref="A27:E27"/>
    <mergeCell ref="G27:H27"/>
    <mergeCell ref="G42:H42"/>
    <mergeCell ref="G43:H43"/>
    <mergeCell ref="G44:H44"/>
    <mergeCell ref="G45:H45"/>
    <mergeCell ref="G46:H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About</vt:lpstr>
      <vt:lpstr>Dashboard</vt:lpstr>
      <vt:lpstr>Inputs</vt:lpstr>
      <vt:lpstr>Mix Design</vt:lpstr>
      <vt:lpstr>Costing</vt:lpstr>
      <vt:lpstr>Scenarios</vt:lpstr>
      <vt:lpstr>Profitability</vt:lpstr>
      <vt:lpstr>working</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Kiki .</cp:lastModifiedBy>
  <cp:revision>1</cp:revision>
  <dcterms:created xsi:type="dcterms:W3CDTF">2026-08-13T01:48:44Z</dcterms:created>
  <dcterms:modified xsi:type="dcterms:W3CDTF">2026-08-13T02:02:10Z</dcterms:modified>
  <dc:language>en-US</dc:language>
</cp:coreProperties>
</file>